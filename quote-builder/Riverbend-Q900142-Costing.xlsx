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 of prices" sheetId="2" state="visible" r:id="rId2"/>
    <sheet name="Costing" sheetId="3" state="visible" r:id="rId3"/>
    <sheet name="Electrical" sheetId="4" state="visible" r:id="rId4"/>
    <sheet name="Take-off" sheetId="5" state="visible" r:id="rId5"/>
    <sheet name="Welding hours" sheetId="6" state="visible" r:id="rId6"/>
    <sheet name="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777777"/>
      <sz val="9"/>
    </font>
    <font>
      <b val="1"/>
    </font>
    <font>
      <b val="1"/>
      <color rgb="00FFFFFF"/>
      <sz val="10.5"/>
    </font>
    <font>
      <b val="1"/>
      <sz val="10.5"/>
    </font>
  </fonts>
  <fills count="7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FFF4E0"/>
      </patternFill>
    </fill>
    <fill>
      <patternFill patternType="solid">
        <fgColor rgb="00DCE6F1"/>
      </patternFill>
    </fill>
    <fill>
      <patternFill patternType="solid">
        <fgColor rgb="00E8F0FB"/>
      </patternFill>
    </fill>
    <fill>
      <patternFill patternType="solid">
        <fgColor rgb="00E6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" fontId="0" fillId="0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4" fontId="0" fillId="5" borderId="0" pivotButton="0" quotePrefix="0" xfId="0"/>
    <xf numFmtId="9" fontId="0" fillId="5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9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0" fontId="0" fillId="6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Riverbend Produce Limited</t>
        </is>
      </c>
    </row>
    <row r="2">
      <c r="A2" t="inlineStr">
        <is>
          <t>Coolstore 3 — Glycol Chilling Upgrade</t>
        </is>
      </c>
    </row>
    <row r="3">
      <c r="A3" s="2" t="inlineStr">
        <is>
          <t>Q900142  ·  Rev A</t>
        </is>
      </c>
    </row>
    <row r="4"/>
    <row r="5">
      <c r="A5" t="inlineStr">
        <is>
          <t>Built from</t>
        </is>
      </c>
      <c r="B5" t="inlineStr">
        <is>
          <t>specification + preliminary P&amp;ID</t>
        </is>
      </c>
    </row>
    <row r="6">
      <c r="A6" s="3" t="inlineStr">
        <is>
          <t>Lines</t>
        </is>
      </c>
      <c r="B6" t="n">
        <v>54</v>
      </c>
    </row>
    <row r="7">
      <c r="A7" s="3" t="inlineStr">
        <is>
          <t>Awaiting supplier / subcontractor price</t>
        </is>
      </c>
      <c r="B7" t="n">
        <v>13</v>
      </c>
    </row>
    <row r="8">
      <c r="A8" s="3" t="inlineStr">
        <is>
          <t>Engineer to enter</t>
        </is>
      </c>
      <c r="B8" t="n">
        <v>30</v>
      </c>
    </row>
    <row r="9">
      <c r="A9" s="3" t="inlineStr">
        <is>
          <t>Rules to confirm</t>
        </is>
      </c>
      <c r="B9" t="n">
        <v>11</v>
      </c>
    </row>
    <row r="10">
      <c r="A10" s="3" t="n"/>
    </row>
    <row r="11">
      <c r="A11" s="3" t="inlineStr">
        <is>
          <t>Cost</t>
        </is>
      </c>
      <c r="B11">
        <f>Costing!I1000</f>
        <v/>
      </c>
    </row>
    <row r="12">
      <c r="A12" t="inlineStr">
        <is>
          <t>Margin</t>
        </is>
      </c>
      <c r="B12" t="n">
        <v>0.15</v>
      </c>
    </row>
    <row r="13">
      <c r="A13" t="inlineStr">
        <is>
          <t>Sell</t>
        </is>
      </c>
    </row>
    <row r="15">
      <c r="A15" t="inlineStr">
        <is>
          <t>Exchange rate assumed</t>
        </is>
      </c>
      <c r="B15" t="inlineStr">
        <is>
          <t>NZ$1 = USD $0.58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15" customWidth="1" min="3" max="3"/>
    <col width="15" customWidth="1" min="4" max="4"/>
  </cols>
  <sheetData>
    <row r="1">
      <c r="A1" s="4" t="inlineStr">
        <is>
          <t>Ref</t>
        </is>
      </c>
      <c r="B1" s="4" t="inlineStr">
        <is>
          <t>Description</t>
        </is>
      </c>
      <c r="C1" s="4" t="inlineStr">
        <is>
          <t>Cost</t>
        </is>
      </c>
      <c r="D1" s="4" t="inlineStr">
        <is>
          <t>Sell</t>
        </is>
      </c>
    </row>
    <row r="2">
      <c r="A2" t="inlineStr">
        <is>
          <t>7.1</t>
        </is>
      </c>
      <c r="B2" t="inlineStr">
        <is>
          <t>Compressor pack, including drives</t>
        </is>
      </c>
      <c r="C2" s="5" t="n"/>
      <c r="D2" s="5" t="n"/>
    </row>
    <row r="3">
      <c r="A3" t="inlineStr">
        <is>
          <t>7.2</t>
        </is>
      </c>
      <c r="B3" t="inlineStr">
        <is>
          <t>Evaporative condenser</t>
        </is>
      </c>
      <c r="C3" s="5" t="n"/>
      <c r="D3" s="5" t="n"/>
    </row>
    <row r="4">
      <c r="A4" t="inlineStr">
        <is>
          <t>7.3</t>
        </is>
      </c>
      <c r="B4" t="inlineStr">
        <is>
          <t>Chiller plate heat exchanger</t>
        </is>
      </c>
      <c r="C4" s="5" t="n"/>
      <c r="D4" s="5" t="n"/>
    </row>
    <row r="5">
      <c r="A5" t="inlineStr">
        <is>
          <t>7.4</t>
        </is>
      </c>
      <c r="B5" t="inlineStr">
        <is>
          <t>Glycol circulation — pumps, tanks and controls</t>
        </is>
      </c>
      <c r="C5" s="5" t="n"/>
      <c r="D5" s="5" t="n"/>
    </row>
    <row r="6">
      <c r="A6" t="inlineStr">
        <is>
          <t>7.5</t>
        </is>
      </c>
      <c r="B6" t="inlineStr">
        <is>
          <t>Unit coolers</t>
        </is>
      </c>
      <c r="C6" s="5" t="n"/>
      <c r="D6" s="5" t="n"/>
    </row>
    <row r="7">
      <c r="A7" t="inlineStr">
        <is>
          <t>7.6</t>
        </is>
      </c>
      <c r="B7" t="inlineStr">
        <is>
          <t>Glycol pipework, valves and insulation</t>
        </is>
      </c>
      <c r="C7" s="5" t="n"/>
      <c r="D7" s="5" t="n"/>
    </row>
    <row r="8">
      <c r="A8" t="inlineStr">
        <is>
          <t>7.7</t>
        </is>
      </c>
      <c r="B8" t="inlineStr">
        <is>
          <t>Installation labour, supervision and consumables</t>
        </is>
      </c>
      <c r="C8" s="5" t="n"/>
      <c r="D8" s="5" t="n"/>
    </row>
    <row r="9">
      <c r="A9" t="inlineStr">
        <is>
          <t>7.8</t>
        </is>
      </c>
      <c r="B9" t="inlineStr">
        <is>
          <t>Electrical power, control wiring and SCADA</t>
        </is>
      </c>
      <c r="C9" s="5" t="n"/>
      <c r="D9" s="5" t="n"/>
    </row>
    <row r="10">
      <c r="A10" t="inlineStr">
        <is>
          <t>7.9</t>
        </is>
      </c>
      <c r="B10" t="inlineStr">
        <is>
          <t>As-built documentation, training, O&amp;M</t>
        </is>
      </c>
      <c r="C10" s="5" t="n"/>
      <c r="D10" s="5" t="n"/>
    </row>
    <row r="11">
      <c r="A11" t="inlineStr">
        <is>
          <t>7.10</t>
        </is>
      </c>
      <c r="B11" t="inlineStr">
        <is>
          <t>Commissioning, glycol charge and spares</t>
        </is>
      </c>
      <c r="C11" s="5" t="n"/>
      <c r="D11" s="5" t="n"/>
    </row>
    <row r="12">
      <c r="A12" t="inlineStr">
        <is>
          <t>7.11</t>
        </is>
      </c>
      <c r="B12" t="inlineStr">
        <is>
          <t>Twelve months defects liability and routine maintenance</t>
        </is>
      </c>
      <c r="C12" s="5" t="n"/>
      <c r="D12" s="5" t="n"/>
    </row>
    <row r="14">
      <c r="A14" s="3" t="n"/>
      <c r="B14" s="3" t="inlineStr">
        <is>
          <t>Total (excl GST)</t>
        </is>
      </c>
      <c r="C14" s="3" t="n"/>
      <c r="D1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1" customWidth="1" min="4" max="4"/>
    <col width="13" customWidth="1" min="5" max="5"/>
    <col width="8" customWidth="1" min="6" max="6"/>
    <col width="7" customWidth="1" min="7" max="7"/>
    <col width="11" customWidth="1" min="8" max="8"/>
    <col width="8" customWidth="1" min="9" max="9"/>
    <col width="11" customWidth="1" min="10" max="10"/>
    <col width="28" customWidth="1" min="11" max="11"/>
  </cols>
  <sheetData>
    <row r="1">
      <c r="A1" s="4" t="inlineStr">
        <is>
          <t>Ref</t>
        </is>
      </c>
      <c r="B1" s="4" t="inlineStr">
        <is>
          <t>Description</t>
        </is>
      </c>
      <c r="C1" s="4" t="inlineStr">
        <is>
          <t>Code</t>
        </is>
      </c>
      <c r="D1" s="4" t="inlineStr">
        <is>
          <t>Source</t>
        </is>
      </c>
      <c r="E1" s="4" t="inlineStr">
        <is>
          <t>Who does it</t>
        </is>
      </c>
      <c r="F1" s="4" t="inlineStr">
        <is>
          <t>Qty</t>
        </is>
      </c>
      <c r="G1" s="4" t="inlineStr">
        <is>
          <t>Unit</t>
        </is>
      </c>
      <c r="H1" s="4" t="inlineStr">
        <is>
          <t>Unit cost</t>
        </is>
      </c>
      <c r="I1" s="4" t="inlineStr">
        <is>
          <t>Margin</t>
        </is>
      </c>
      <c r="J1" s="4" t="inlineStr">
        <is>
          <t>Total</t>
        </is>
      </c>
      <c r="K1" s="4" t="inlineStr">
        <is>
          <t>Note</t>
        </is>
      </c>
    </row>
    <row r="2">
      <c r="A2" s="6" t="inlineStr">
        <is>
          <t>7.1</t>
        </is>
      </c>
      <c r="B2" s="6" t="inlineStr">
        <is>
          <t>Compressor pack, including drives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n"/>
      <c r="B3" s="8" t="inlineStr">
        <is>
          <t>Compressor</t>
        </is>
      </c>
      <c r="C3" s="7" t="inlineStr">
        <is>
          <t>C-COM</t>
        </is>
      </c>
      <c r="D3" s="7" t="inlineStr">
        <is>
          <t>RFQ</t>
        </is>
      </c>
      <c r="F3" s="7" t="n">
        <v>2</v>
      </c>
      <c r="G3" s="7" t="inlineStr">
        <is>
          <t>ea</t>
        </is>
      </c>
      <c r="H3" s="9" t="n"/>
      <c r="I3" s="10" t="n">
        <v>0.15</v>
      </c>
      <c r="J3" s="9">
        <f>IFERROR($F3*$H3,"")</f>
        <v/>
      </c>
      <c r="K3" s="11" t="inlineStr">
        <is>
          <t>90 kW each · IE5 VSD</t>
        </is>
      </c>
    </row>
    <row r="4">
      <c r="A4" s="6" t="inlineStr">
        <is>
          <t>7.2</t>
        </is>
      </c>
      <c r="B4" s="6" t="inlineStr">
        <is>
          <t>Evaporative condenser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n"/>
      <c r="B5" s="8" t="inlineStr">
        <is>
          <t>Condenser</t>
        </is>
      </c>
      <c r="C5" s="7" t="inlineStr">
        <is>
          <t>C-CON</t>
        </is>
      </c>
      <c r="D5" s="7" t="inlineStr">
        <is>
          <t>RFQ</t>
        </is>
      </c>
      <c r="F5" s="7" t="n">
        <v>1</v>
      </c>
      <c r="G5" s="7" t="inlineStr">
        <is>
          <t>ea</t>
        </is>
      </c>
      <c r="H5" s="9" t="n"/>
      <c r="I5" s="10" t="n">
        <v>0.15</v>
      </c>
      <c r="J5" s="9">
        <f>IFERROR($F5*$H5,"")</f>
        <v/>
      </c>
      <c r="K5" s="11" t="inlineStr">
        <is>
          <t>620 kWR each · EC Fan Supply</t>
        </is>
      </c>
    </row>
    <row r="6">
      <c r="A6" s="6" t="inlineStr">
        <is>
          <t>7.3</t>
        </is>
      </c>
      <c r="B6" s="6" t="inlineStr">
        <is>
          <t>Chiller plate heat exchanger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n"/>
      <c r="B7" s="8" t="inlineStr">
        <is>
          <t>Chiller Phe</t>
        </is>
      </c>
      <c r="C7" s="7" t="inlineStr">
        <is>
          <t>C-HX</t>
        </is>
      </c>
      <c r="D7" s="7" t="inlineStr">
        <is>
          <t>RFQ</t>
        </is>
      </c>
      <c r="F7" s="7" t="n">
        <v>1</v>
      </c>
      <c r="G7" s="7" t="inlineStr">
        <is>
          <t>ea</t>
        </is>
      </c>
      <c r="H7" s="9" t="n"/>
      <c r="I7" s="10" t="n">
        <v>0.15</v>
      </c>
      <c r="J7" s="9">
        <f>IFERROR($F7*$H7,"")</f>
        <v/>
      </c>
      <c r="K7" s="11" t="inlineStr">
        <is>
          <t>520 kWR each · no starter shown</t>
        </is>
      </c>
    </row>
    <row r="8">
      <c r="A8" s="6" t="inlineStr">
        <is>
          <t>7.4</t>
        </is>
      </c>
      <c r="B8" s="6" t="inlineStr">
        <is>
          <t>Glycol circulation — pumps, tanks and controls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n"/>
      <c r="B9" s="8" t="inlineStr">
        <is>
          <t>Glycol Pump</t>
        </is>
      </c>
      <c r="C9" s="7" t="inlineStr">
        <is>
          <t>C-WP</t>
        </is>
      </c>
      <c r="D9" s="7" t="inlineStr">
        <is>
          <t>RFQ</t>
        </is>
      </c>
      <c r="F9" s="7" t="n">
        <v>2</v>
      </c>
      <c r="G9" s="7" t="inlineStr">
        <is>
          <t>ea</t>
        </is>
      </c>
      <c r="H9" s="9" t="n"/>
      <c r="I9" s="10" t="n">
        <v>0.15</v>
      </c>
      <c r="J9" s="9">
        <f>IFERROR($F9*$H9,"")</f>
        <v/>
      </c>
      <c r="K9" s="11" t="inlineStr">
        <is>
          <t>15 kW each · VSD</t>
        </is>
      </c>
    </row>
    <row r="10">
      <c r="A10" s="7" t="n"/>
      <c r="B10" s="8" t="inlineStr">
        <is>
          <t>Defrost Pump</t>
        </is>
      </c>
      <c r="C10" s="7" t="inlineStr">
        <is>
          <t>C-WP</t>
        </is>
      </c>
      <c r="D10" s="7" t="inlineStr">
        <is>
          <t>RFQ</t>
        </is>
      </c>
      <c r="F10" s="7" t="n">
        <v>1</v>
      </c>
      <c r="G10" s="7" t="inlineStr">
        <is>
          <t>ea</t>
        </is>
      </c>
      <c r="H10" s="9" t="n"/>
      <c r="I10" s="10" t="n">
        <v>0.15</v>
      </c>
      <c r="J10" s="9">
        <f>IFERROR($F10*$H10,"")</f>
        <v/>
      </c>
      <c r="K10" s="11" t="inlineStr">
        <is>
          <t>4 kW each · VSD</t>
        </is>
      </c>
    </row>
    <row r="11">
      <c r="A11" s="6" t="inlineStr">
        <is>
          <t>7.5</t>
        </is>
      </c>
      <c r="B11" s="6" t="inlineStr">
        <is>
          <t>Unit coolers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7" t="n"/>
      <c r="B12" s="8" t="inlineStr">
        <is>
          <t>Unit Cooler</t>
        </is>
      </c>
      <c r="C12" s="7" t="inlineStr">
        <is>
          <t>C-FCU</t>
        </is>
      </c>
      <c r="D12" s="7" t="inlineStr">
        <is>
          <t>RFQ</t>
        </is>
      </c>
      <c r="F12" s="7" t="n">
        <v>4</v>
      </c>
      <c r="G12" s="7" t="inlineStr">
        <is>
          <t>ea</t>
        </is>
      </c>
      <c r="H12" s="9" t="n"/>
      <c r="I12" s="10" t="n">
        <v>0.15</v>
      </c>
      <c r="J12" s="9">
        <f>IFERROR($F12*$H12,"")</f>
        <v/>
      </c>
      <c r="K12" s="11" t="inlineStr">
        <is>
          <t>55 kWR each · EC Fan Supply</t>
        </is>
      </c>
    </row>
    <row r="13">
      <c r="A13" s="6" t="inlineStr">
        <is>
          <t>7.6</t>
        </is>
      </c>
      <c r="B13" s="6" t="inlineStr">
        <is>
          <t>Glycol pipework, valves and insulation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7" t="n"/>
      <c r="B14" s="8" t="inlineStr">
        <is>
          <t>50TE isolating valve</t>
        </is>
      </c>
      <c r="C14" s="7" t="inlineStr">
        <is>
          <t>M-VG</t>
        </is>
      </c>
      <c r="D14" s="7" t="inlineStr">
        <is>
          <t>RFQ</t>
        </is>
      </c>
      <c r="F14" s="7" t="n">
        <v>10</v>
      </c>
      <c r="G14" s="7" t="inlineStr">
        <is>
          <t>ea</t>
        </is>
      </c>
      <c r="H14" s="9" t="n"/>
      <c r="I14" s="10" t="n">
        <v>0.15</v>
      </c>
      <c r="J14" s="9">
        <f>IFERROR($F14*$H14,"")</f>
        <v/>
      </c>
      <c r="K14" s="11" t="inlineStr">
        <is>
          <t>10 × 50TE on the P&amp;ID</t>
        </is>
      </c>
    </row>
    <row r="15">
      <c r="A15" s="12" t="n"/>
      <c r="B15" s="13" t="inlineStr">
        <is>
          <t>50TE tube flange</t>
        </is>
      </c>
      <c r="C15" s="12" t="inlineStr">
        <is>
          <t>M-F</t>
        </is>
      </c>
      <c r="D15" s="12" t="inlineStr">
        <is>
          <t>RULE</t>
        </is>
      </c>
      <c r="F15" s="12" t="n">
        <v>10</v>
      </c>
      <c r="G15" s="12" t="inlineStr">
        <is>
          <t>ea</t>
        </is>
      </c>
      <c r="H15" s="14" t="n"/>
      <c r="I15" s="15" t="n">
        <v>0.15</v>
      </c>
      <c r="J15" s="14">
        <f>IFERROR($F15*$H15,"")</f>
        <v/>
      </c>
      <c r="K15" s="16" t="inlineStr">
        <is>
          <t>rule: 1 per 50TE connection</t>
        </is>
      </c>
    </row>
    <row r="16">
      <c r="A16" s="12" t="n"/>
      <c r="B16" s="13" t="inlineStr">
        <is>
          <t>50TE gasket</t>
        </is>
      </c>
      <c r="C16" s="12" t="inlineStr">
        <is>
          <t>M-F</t>
        </is>
      </c>
      <c r="D16" s="12" t="inlineStr">
        <is>
          <t>RULE</t>
        </is>
      </c>
      <c r="F16" s="12" t="n">
        <v>10</v>
      </c>
      <c r="G16" s="12" t="inlineStr">
        <is>
          <t>ea</t>
        </is>
      </c>
      <c r="H16" s="14" t="n"/>
      <c r="I16" s="15" t="n">
        <v>0.15</v>
      </c>
      <c r="J16" s="14">
        <f>IFERROR($F16*$H16,"")</f>
        <v/>
      </c>
      <c r="K16" s="16" t="inlineStr">
        <is>
          <t>rule: 1 per 50TE connection</t>
        </is>
      </c>
    </row>
    <row r="17">
      <c r="A17" s="7" t="n"/>
      <c r="B17" s="8" t="inlineStr">
        <is>
          <t>80TE isolating valve</t>
        </is>
      </c>
      <c r="C17" s="7" t="inlineStr">
        <is>
          <t>M-VG</t>
        </is>
      </c>
      <c r="D17" s="7" t="inlineStr">
        <is>
          <t>RFQ</t>
        </is>
      </c>
      <c r="F17" s="7" t="n">
        <v>6</v>
      </c>
      <c r="G17" s="7" t="inlineStr">
        <is>
          <t>ea</t>
        </is>
      </c>
      <c r="H17" s="9" t="n"/>
      <c r="I17" s="10" t="n">
        <v>0.15</v>
      </c>
      <c r="J17" s="9">
        <f>IFERROR($F17*$H17,"")</f>
        <v/>
      </c>
      <c r="K17" s="11" t="inlineStr">
        <is>
          <t>6 × 80TE on the P&amp;ID</t>
        </is>
      </c>
    </row>
    <row r="18">
      <c r="A18" s="12" t="n"/>
      <c r="B18" s="13" t="inlineStr">
        <is>
          <t>80TE tube flange</t>
        </is>
      </c>
      <c r="C18" s="12" t="inlineStr">
        <is>
          <t>M-F</t>
        </is>
      </c>
      <c r="D18" s="12" t="inlineStr">
        <is>
          <t>RULE</t>
        </is>
      </c>
      <c r="F18" s="12" t="n">
        <v>6</v>
      </c>
      <c r="G18" s="12" t="inlineStr">
        <is>
          <t>ea</t>
        </is>
      </c>
      <c r="H18" s="14" t="n"/>
      <c r="I18" s="15" t="n">
        <v>0.15</v>
      </c>
      <c r="J18" s="14">
        <f>IFERROR($F18*$H18,"")</f>
        <v/>
      </c>
      <c r="K18" s="16" t="inlineStr">
        <is>
          <t>rule: 1 per 80TE connection</t>
        </is>
      </c>
    </row>
    <row r="19">
      <c r="A19" s="12" t="n"/>
      <c r="B19" s="13" t="inlineStr">
        <is>
          <t>80TE gasket</t>
        </is>
      </c>
      <c r="C19" s="12" t="inlineStr">
        <is>
          <t>M-F</t>
        </is>
      </c>
      <c r="D19" s="12" t="inlineStr">
        <is>
          <t>RULE</t>
        </is>
      </c>
      <c r="F19" s="12" t="n">
        <v>6</v>
      </c>
      <c r="G19" s="12" t="inlineStr">
        <is>
          <t>ea</t>
        </is>
      </c>
      <c r="H19" s="14" t="n"/>
      <c r="I19" s="15" t="n">
        <v>0.15</v>
      </c>
      <c r="J19" s="14">
        <f>IFERROR($F19*$H19,"")</f>
        <v/>
      </c>
      <c r="K19" s="16" t="inlineStr">
        <is>
          <t>rule: 1 per 80TE connection</t>
        </is>
      </c>
    </row>
    <row r="20">
      <c r="A20" s="7" t="n"/>
      <c r="B20" s="8" t="inlineStr">
        <is>
          <t>40PN isolating valve</t>
        </is>
      </c>
      <c r="C20" s="7" t="inlineStr">
        <is>
          <t>M-VG</t>
        </is>
      </c>
      <c r="D20" s="7" t="inlineStr">
        <is>
          <t>RFQ</t>
        </is>
      </c>
      <c r="F20" s="7" t="n">
        <v>2</v>
      </c>
      <c r="G20" s="7" t="inlineStr">
        <is>
          <t>ea</t>
        </is>
      </c>
      <c r="H20" s="9" t="n"/>
      <c r="I20" s="10" t="n">
        <v>0.15</v>
      </c>
      <c r="J20" s="9">
        <f>IFERROR($F20*$H20,"")</f>
        <v/>
      </c>
      <c r="K20" s="11" t="inlineStr">
        <is>
          <t>2 × 40PN on the P&amp;ID</t>
        </is>
      </c>
    </row>
    <row r="21">
      <c r="A21" s="12" t="n"/>
      <c r="B21" s="13" t="inlineStr">
        <is>
          <t>40PN gasket</t>
        </is>
      </c>
      <c r="C21" s="12" t="inlineStr">
        <is>
          <t>M-F</t>
        </is>
      </c>
      <c r="D21" s="12" t="inlineStr">
        <is>
          <t>RULE</t>
        </is>
      </c>
      <c r="F21" s="12" t="n">
        <v>2</v>
      </c>
      <c r="G21" s="12" t="inlineStr">
        <is>
          <t>ea</t>
        </is>
      </c>
      <c r="H21" s="14" t="n"/>
      <c r="I21" s="15" t="n">
        <v>0.15</v>
      </c>
      <c r="J21" s="14">
        <f>IFERROR($F21*$H21,"")</f>
        <v/>
      </c>
      <c r="K21" s="16" t="inlineStr">
        <is>
          <t>rule: 1 per 40PN connection</t>
        </is>
      </c>
    </row>
    <row r="22">
      <c r="A22" s="12" t="n"/>
      <c r="B22" s="13" t="inlineStr">
        <is>
          <t>40PN bolt set</t>
        </is>
      </c>
      <c r="C22" s="12" t="inlineStr">
        <is>
          <t>M-F</t>
        </is>
      </c>
      <c r="D22" s="12" t="inlineStr">
        <is>
          <t>RULE</t>
        </is>
      </c>
      <c r="F22" s="12" t="n">
        <v>2</v>
      </c>
      <c r="G22" s="12" t="inlineStr">
        <is>
          <t>ea</t>
        </is>
      </c>
      <c r="H22" s="14" t="n"/>
      <c r="I22" s="15" t="n">
        <v>0.15</v>
      </c>
      <c r="J22" s="14">
        <f>IFERROR($F22*$H22,"")</f>
        <v/>
      </c>
      <c r="K22" s="16" t="inlineStr">
        <is>
          <t>rule: 1 per 40PN connection</t>
        </is>
      </c>
    </row>
    <row r="23">
      <c r="A23" s="7" t="n"/>
      <c r="B23" s="8" t="inlineStr">
        <is>
          <t>65PN isolating valve</t>
        </is>
      </c>
      <c r="C23" s="7" t="inlineStr">
        <is>
          <t>M-VG</t>
        </is>
      </c>
      <c r="D23" s="7" t="inlineStr">
        <is>
          <t>RFQ</t>
        </is>
      </c>
      <c r="F23" s="7" t="n">
        <v>1</v>
      </c>
      <c r="G23" s="7" t="inlineStr">
        <is>
          <t>ea</t>
        </is>
      </c>
      <c r="H23" s="9" t="n"/>
      <c r="I23" s="10" t="n">
        <v>0.15</v>
      </c>
      <c r="J23" s="9">
        <f>IFERROR($F23*$H23,"")</f>
        <v/>
      </c>
      <c r="K23" s="11" t="inlineStr">
        <is>
          <t>1 × 65PN on the P&amp;ID</t>
        </is>
      </c>
    </row>
    <row r="24">
      <c r="A24" s="12" t="n"/>
      <c r="B24" s="13" t="inlineStr">
        <is>
          <t>65PN gasket</t>
        </is>
      </c>
      <c r="C24" s="12" t="inlineStr">
        <is>
          <t>M-F</t>
        </is>
      </c>
      <c r="D24" s="12" t="inlineStr">
        <is>
          <t>RULE</t>
        </is>
      </c>
      <c r="F24" s="12" t="n">
        <v>1</v>
      </c>
      <c r="G24" s="12" t="inlineStr">
        <is>
          <t>ea</t>
        </is>
      </c>
      <c r="H24" s="14" t="n"/>
      <c r="I24" s="15" t="n">
        <v>0.15</v>
      </c>
      <c r="J24" s="14">
        <f>IFERROR($F24*$H24,"")</f>
        <v/>
      </c>
      <c r="K24" s="16" t="inlineStr">
        <is>
          <t>rule: 1 per 65PN connection</t>
        </is>
      </c>
    </row>
    <row r="25">
      <c r="A25" s="12" t="n"/>
      <c r="B25" s="13" t="inlineStr">
        <is>
          <t>65PN bolt set</t>
        </is>
      </c>
      <c r="C25" s="12" t="inlineStr">
        <is>
          <t>M-F</t>
        </is>
      </c>
      <c r="D25" s="12" t="inlineStr">
        <is>
          <t>RULE</t>
        </is>
      </c>
      <c r="F25" s="12" t="n">
        <v>1</v>
      </c>
      <c r="G25" s="12" t="inlineStr">
        <is>
          <t>ea</t>
        </is>
      </c>
      <c r="H25" s="14" t="n"/>
      <c r="I25" s="15" t="n">
        <v>0.15</v>
      </c>
      <c r="J25" s="14">
        <f>IFERROR($F25*$H25,"")</f>
        <v/>
      </c>
      <c r="K25" s="16" t="inlineStr">
        <is>
          <t>rule: 1 per 65PN connection</t>
        </is>
      </c>
    </row>
    <row r="26">
      <c r="A26" s="7" t="n"/>
      <c r="B26" s="8" t="inlineStr">
        <is>
          <t>65TE isolating valve</t>
        </is>
      </c>
      <c r="C26" s="7" t="inlineStr">
        <is>
          <t>M-VG</t>
        </is>
      </c>
      <c r="D26" s="7" t="inlineStr">
        <is>
          <t>RFQ</t>
        </is>
      </c>
      <c r="F26" s="7" t="n">
        <v>1</v>
      </c>
      <c r="G26" s="7" t="inlineStr">
        <is>
          <t>ea</t>
        </is>
      </c>
      <c r="H26" s="9" t="n"/>
      <c r="I26" s="10" t="n">
        <v>0.15</v>
      </c>
      <c r="J26" s="9">
        <f>IFERROR($F26*$H26,"")</f>
        <v/>
      </c>
      <c r="K26" s="11" t="inlineStr">
        <is>
          <t>1 × 65TE on the P&amp;ID</t>
        </is>
      </c>
    </row>
    <row r="27">
      <c r="A27" s="12" t="n"/>
      <c r="B27" s="13" t="inlineStr">
        <is>
          <t>65TE tube flange</t>
        </is>
      </c>
      <c r="C27" s="12" t="inlineStr">
        <is>
          <t>M-F</t>
        </is>
      </c>
      <c r="D27" s="12" t="inlineStr">
        <is>
          <t>RULE</t>
        </is>
      </c>
      <c r="F27" s="12" t="n">
        <v>1</v>
      </c>
      <c r="G27" s="12" t="inlineStr">
        <is>
          <t>ea</t>
        </is>
      </c>
      <c r="H27" s="14" t="n"/>
      <c r="I27" s="15" t="n">
        <v>0.15</v>
      </c>
      <c r="J27" s="14">
        <f>IFERROR($F27*$H27,"")</f>
        <v/>
      </c>
      <c r="K27" s="16" t="inlineStr">
        <is>
          <t>rule: 1 per 65TE connection</t>
        </is>
      </c>
    </row>
    <row r="28">
      <c r="A28" s="12" t="n"/>
      <c r="B28" s="13" t="inlineStr">
        <is>
          <t>65TE gasket</t>
        </is>
      </c>
      <c r="C28" s="12" t="inlineStr">
        <is>
          <t>M-F</t>
        </is>
      </c>
      <c r="D28" s="12" t="inlineStr">
        <is>
          <t>RULE</t>
        </is>
      </c>
      <c r="F28" s="12" t="n">
        <v>1</v>
      </c>
      <c r="G28" s="12" t="inlineStr">
        <is>
          <t>ea</t>
        </is>
      </c>
      <c r="H28" s="14" t="n"/>
      <c r="I28" s="15" t="n">
        <v>0.15</v>
      </c>
      <c r="J28" s="14">
        <f>IFERROR($F28*$H28,"")</f>
        <v/>
      </c>
      <c r="K28" s="16" t="inlineStr">
        <is>
          <t>rule: 1 per 65TE connection</t>
        </is>
      </c>
    </row>
    <row r="29">
      <c r="B29" s="17" t="inlineStr">
        <is>
          <t>42mm 304 press pipe</t>
        </is>
      </c>
      <c r="C29" t="inlineStr">
        <is>
          <t>M-PFS</t>
        </is>
      </c>
      <c r="D29" t="inlineStr">
        <is>
          <t>ENGINEER</t>
        </is>
      </c>
      <c r="G29" t="inlineStr">
        <is>
          <t>m</t>
        </is>
      </c>
      <c r="H29" s="5" t="n"/>
      <c r="I29" s="18" t="n">
        <v>0.15</v>
      </c>
      <c r="J29" s="5">
        <f>IFERROR($F29*$H29,"")</f>
        <v/>
      </c>
      <c r="K29" s="2" t="inlineStr">
        <is>
          <t>8 runs on the P&amp;ID</t>
        </is>
      </c>
    </row>
    <row r="30">
      <c r="B30" s="17" t="inlineStr">
        <is>
          <t>100NB pipe</t>
        </is>
      </c>
      <c r="C30" t="inlineStr">
        <is>
          <t>M-P</t>
        </is>
      </c>
      <c r="D30" t="inlineStr">
        <is>
          <t>ENGINEER</t>
        </is>
      </c>
      <c r="G30" t="inlineStr">
        <is>
          <t>m</t>
        </is>
      </c>
      <c r="H30" s="5" t="n"/>
      <c r="I30" s="18" t="n">
        <v>0.15</v>
      </c>
      <c r="J30" s="5">
        <f>IFERROR($F30*$H30,"")</f>
        <v/>
      </c>
      <c r="K30" s="2" t="inlineStr">
        <is>
          <t>1 runs on the P&amp;ID</t>
        </is>
      </c>
    </row>
    <row r="31">
      <c r="B31" s="17" t="inlineStr">
        <is>
          <t>80NB pipe</t>
        </is>
      </c>
      <c r="C31" t="inlineStr">
        <is>
          <t>M-P</t>
        </is>
      </c>
      <c r="D31" t="inlineStr">
        <is>
          <t>ENGINEER</t>
        </is>
      </c>
      <c r="G31" t="inlineStr">
        <is>
          <t>m</t>
        </is>
      </c>
      <c r="H31" s="5" t="n"/>
      <c r="I31" s="18" t="n">
        <v>0.15</v>
      </c>
      <c r="J31" s="5">
        <f>IFERROR($F31*$H31,"")</f>
        <v/>
      </c>
      <c r="K31" s="2" t="inlineStr">
        <is>
          <t>1 runs on the P&amp;ID</t>
        </is>
      </c>
    </row>
    <row r="32">
      <c r="B32" s="17" t="inlineStr">
        <is>
          <t>101mm tube pipe</t>
        </is>
      </c>
      <c r="C32" t="inlineStr">
        <is>
          <t>M-P</t>
        </is>
      </c>
      <c r="D32" t="inlineStr">
        <is>
          <t>ENGINEER</t>
        </is>
      </c>
      <c r="G32" t="inlineStr">
        <is>
          <t>m</t>
        </is>
      </c>
      <c r="H32" s="5" t="n"/>
      <c r="I32" s="18" t="n">
        <v>0.15</v>
      </c>
      <c r="J32" s="5">
        <f>IFERROR($F32*$H32,"")</f>
        <v/>
      </c>
      <c r="K32" s="2" t="inlineStr">
        <is>
          <t>1 runs on the P&amp;ID</t>
        </is>
      </c>
    </row>
    <row r="33">
      <c r="B33" s="17" t="inlineStr">
        <is>
          <t>63mm tube pipe</t>
        </is>
      </c>
      <c r="C33" t="inlineStr">
        <is>
          <t>M-P</t>
        </is>
      </c>
      <c r="D33" t="inlineStr">
        <is>
          <t>ENGINEER</t>
        </is>
      </c>
      <c r="G33" t="inlineStr">
        <is>
          <t>m</t>
        </is>
      </c>
      <c r="H33" s="5" t="n"/>
      <c r="I33" s="18" t="n">
        <v>0.15</v>
      </c>
      <c r="J33" s="5">
        <f>IFERROR($F33*$H33,"")</f>
        <v/>
      </c>
      <c r="K33" s="2" t="inlineStr">
        <is>
          <t>1 runs on the P&amp;ID</t>
        </is>
      </c>
    </row>
    <row r="34">
      <c r="B34" s="17" t="inlineStr">
        <is>
          <t>76mm 304 press pipe</t>
        </is>
      </c>
      <c r="C34" t="inlineStr">
        <is>
          <t>M-PFS</t>
        </is>
      </c>
      <c r="D34" t="inlineStr">
        <is>
          <t>ENGINEER</t>
        </is>
      </c>
      <c r="G34" t="inlineStr">
        <is>
          <t>m</t>
        </is>
      </c>
      <c r="H34" s="5" t="n"/>
      <c r="I34" s="18" t="n">
        <v>0.15</v>
      </c>
      <c r="J34" s="5">
        <f>IFERROR($F34*$H34,"")</f>
        <v/>
      </c>
      <c r="K34" s="2" t="inlineStr">
        <is>
          <t>1 runs on the P&amp;ID</t>
        </is>
      </c>
    </row>
    <row r="35">
      <c r="B35" s="17" t="inlineStr">
        <is>
          <t>54mm 304 press pipe</t>
        </is>
      </c>
      <c r="C35" t="inlineStr">
        <is>
          <t>M-PFS</t>
        </is>
      </c>
      <c r="D35" t="inlineStr">
        <is>
          <t>ENGINEER</t>
        </is>
      </c>
      <c r="G35" t="inlineStr">
        <is>
          <t>m</t>
        </is>
      </c>
      <c r="H35" s="5" t="n"/>
      <c r="I35" s="18" t="n">
        <v>0.15</v>
      </c>
      <c r="J35" s="5">
        <f>IFERROR($F35*$H35,"")</f>
        <v/>
      </c>
      <c r="K35" s="2" t="inlineStr">
        <is>
          <t>1 runs on the P&amp;ID</t>
        </is>
      </c>
    </row>
    <row r="36">
      <c r="A36" s="12" t="n"/>
      <c r="B36" s="13" t="inlineStr">
        <is>
          <t>Pipe insulation</t>
        </is>
      </c>
      <c r="C36" s="12" t="inlineStr">
        <is>
          <t>M-INS</t>
        </is>
      </c>
      <c r="D36" s="12" t="inlineStr">
        <is>
          <t>RATE</t>
        </is>
      </c>
      <c r="F36" s="12" t="n"/>
      <c r="G36" s="12" t="inlineStr">
        <is>
          <t>m</t>
        </is>
      </c>
      <c r="H36" s="14" t="n"/>
      <c r="I36" s="15" t="n">
        <v>0.15</v>
      </c>
      <c r="J36" s="14">
        <f>IFERROR($F36*$H36,"")</f>
        <v/>
      </c>
      <c r="K36" s="16" t="inlineStr">
        <is>
          <t>rate card by diameter</t>
        </is>
      </c>
    </row>
    <row r="37">
      <c r="B37" s="17" t="inlineStr">
        <is>
          <t>Freight and cartage</t>
        </is>
      </c>
      <c r="C37" t="inlineStr">
        <is>
          <t>P-FRE</t>
        </is>
      </c>
      <c r="D37" t="inlineStr">
        <is>
          <t>ENGINEER</t>
        </is>
      </c>
      <c r="G37" t="inlineStr">
        <is>
          <t>lot</t>
        </is>
      </c>
      <c r="H37" s="5" t="n"/>
      <c r="I37" s="18" t="n">
        <v>0.15</v>
      </c>
      <c r="J37" s="5">
        <f>IFERROR($F37*$H37,"")</f>
        <v/>
      </c>
      <c r="K37" s="2" t="inlineStr">
        <is>
          <t>carried on past jobs</t>
        </is>
      </c>
    </row>
    <row r="38">
      <c r="A38" s="6" t="inlineStr">
        <is>
          <t>7.7</t>
        </is>
      </c>
      <c r="B38" s="6" t="inlineStr">
        <is>
          <t>Installation labour, supervision and consumables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B39" s="17" t="inlineStr">
        <is>
          <t>Set out and rig plant</t>
        </is>
      </c>
      <c r="C39" t="inlineStr">
        <is>
          <t>L-SERVIN</t>
        </is>
      </c>
      <c r="D39" t="inlineStr">
        <is>
          <t>ENGINEER</t>
        </is>
      </c>
      <c r="E39" s="19" t="inlineStr">
        <is>
          <t>In-house</t>
        </is>
      </c>
      <c r="G39" t="inlineStr">
        <is>
          <t>hr</t>
        </is>
      </c>
      <c r="H39" s="5" t="n">
        <v>105</v>
      </c>
      <c r="I39" s="18" t="n">
        <v>0.15</v>
      </c>
      <c r="J39" s="5">
        <f>IFERROR($F39*$H39,"")</f>
        <v/>
      </c>
      <c r="K39" s="2" t="inlineStr">
        <is>
          <t>crew × days</t>
        </is>
      </c>
    </row>
    <row r="40">
      <c r="B40" s="17" t="inlineStr">
        <is>
          <t>Pipe compressor pack</t>
        </is>
      </c>
      <c r="C40" t="inlineStr">
        <is>
          <t>L-SERVIN</t>
        </is>
      </c>
      <c r="D40" t="inlineStr">
        <is>
          <t>ENGINEER</t>
        </is>
      </c>
      <c r="E40" s="19" t="inlineStr">
        <is>
          <t>In-house</t>
        </is>
      </c>
      <c r="G40" t="inlineStr">
        <is>
          <t>hr</t>
        </is>
      </c>
      <c r="H40" s="5" t="n">
        <v>105</v>
      </c>
      <c r="I40" s="18" t="n">
        <v>0.15</v>
      </c>
      <c r="J40" s="5">
        <f>IFERROR($F40*$H40,"")</f>
        <v/>
      </c>
      <c r="K40" s="2" t="inlineStr">
        <is>
          <t>crew × days</t>
        </is>
      </c>
    </row>
    <row r="41">
      <c r="B41" s="17" t="inlineStr">
        <is>
          <t>Pipe chiller and glycol circuit</t>
        </is>
      </c>
      <c r="C41" t="inlineStr">
        <is>
          <t>L-SERVIN</t>
        </is>
      </c>
      <c r="D41" t="inlineStr">
        <is>
          <t>ENGINEER</t>
        </is>
      </c>
      <c r="E41" s="19" t="inlineStr">
        <is>
          <t>In-house</t>
        </is>
      </c>
      <c r="G41" t="inlineStr">
        <is>
          <t>hr</t>
        </is>
      </c>
      <c r="H41" s="5" t="n">
        <v>105</v>
      </c>
      <c r="I41" s="18" t="n">
        <v>0.15</v>
      </c>
      <c r="J41" s="5">
        <f>IFERROR($F41*$H41,"")</f>
        <v/>
      </c>
      <c r="K41" s="2" t="inlineStr">
        <is>
          <t>crew × days</t>
        </is>
      </c>
    </row>
    <row r="42">
      <c r="B42" s="17" t="inlineStr">
        <is>
          <t>Hang and pipe unit coolers</t>
        </is>
      </c>
      <c r="C42" t="inlineStr">
        <is>
          <t>L-SERVIN</t>
        </is>
      </c>
      <c r="D42" t="inlineStr">
        <is>
          <t>ENGINEER</t>
        </is>
      </c>
      <c r="E42" s="19" t="inlineStr">
        <is>
          <t>In-house</t>
        </is>
      </c>
      <c r="G42" t="inlineStr">
        <is>
          <t>hr</t>
        </is>
      </c>
      <c r="H42" s="5" t="n">
        <v>105</v>
      </c>
      <c r="I42" s="18" t="n">
        <v>0.15</v>
      </c>
      <c r="J42" s="5">
        <f>IFERROR($F42*$H42,"")</f>
        <v/>
      </c>
      <c r="K42" s="2" t="inlineStr">
        <is>
          <t>crew × days</t>
        </is>
      </c>
    </row>
    <row r="43">
      <c r="B43" s="17" t="inlineStr">
        <is>
          <t>Pressure test</t>
        </is>
      </c>
      <c r="C43" t="inlineStr">
        <is>
          <t>L-SERVIN</t>
        </is>
      </c>
      <c r="D43" t="inlineStr">
        <is>
          <t>ENGINEER</t>
        </is>
      </c>
      <c r="E43" s="19" t="inlineStr">
        <is>
          <t>In-house</t>
        </is>
      </c>
      <c r="G43" t="inlineStr">
        <is>
          <t>hr</t>
        </is>
      </c>
      <c r="H43" s="5" t="n">
        <v>105</v>
      </c>
      <c r="I43" s="18" t="n">
        <v>0.15</v>
      </c>
      <c r="J43" s="5">
        <f>IFERROR($F43*$H43,"")</f>
        <v/>
      </c>
      <c r="K43" s="2" t="inlineStr">
        <is>
          <t>crew × days</t>
        </is>
      </c>
    </row>
    <row r="44">
      <c r="B44" s="17" t="inlineStr">
        <is>
          <t>Insulate</t>
        </is>
      </c>
      <c r="C44" t="inlineStr">
        <is>
          <t>L-SERVIN</t>
        </is>
      </c>
      <c r="D44" t="inlineStr">
        <is>
          <t>ENGINEER</t>
        </is>
      </c>
      <c r="E44" s="19" t="inlineStr">
        <is>
          <t>In-house</t>
        </is>
      </c>
      <c r="G44" t="inlineStr">
        <is>
          <t>hr</t>
        </is>
      </c>
      <c r="H44" s="5" t="n">
        <v>105</v>
      </c>
      <c r="I44" s="18" t="n">
        <v>0.15</v>
      </c>
      <c r="J44" s="5">
        <f>IFERROR($F44*$H44,"")</f>
        <v/>
      </c>
      <c r="K44" s="2" t="inlineStr">
        <is>
          <t>crew × days</t>
        </is>
      </c>
    </row>
    <row r="45">
      <c r="B45" s="17" t="inlineStr">
        <is>
          <t>Glycol fill and flush</t>
        </is>
      </c>
      <c r="C45" t="inlineStr">
        <is>
          <t>L-SERVIN</t>
        </is>
      </c>
      <c r="D45" t="inlineStr">
        <is>
          <t>ENGINEER</t>
        </is>
      </c>
      <c r="E45" s="19" t="inlineStr">
        <is>
          <t>In-house</t>
        </is>
      </c>
      <c r="G45" t="inlineStr">
        <is>
          <t>hr</t>
        </is>
      </c>
      <c r="H45" s="5" t="n">
        <v>105</v>
      </c>
      <c r="I45" s="18" t="n">
        <v>0.15</v>
      </c>
      <c r="J45" s="5">
        <f>IFERROR($F45*$H45,"")</f>
        <v/>
      </c>
      <c r="K45" s="2" t="inlineStr">
        <is>
          <t>crew × days</t>
        </is>
      </c>
    </row>
    <row r="46">
      <c r="B46" s="17" t="inlineStr">
        <is>
          <t>Changeover weekend</t>
        </is>
      </c>
      <c r="C46" t="inlineStr">
        <is>
          <t>L-SERVIN</t>
        </is>
      </c>
      <c r="D46" t="inlineStr">
        <is>
          <t>ENGINEER</t>
        </is>
      </c>
      <c r="E46" s="19" t="inlineStr">
        <is>
          <t>In-house</t>
        </is>
      </c>
      <c r="G46" t="inlineStr">
        <is>
          <t>hr</t>
        </is>
      </c>
      <c r="H46" s="5" t="n">
        <v>105</v>
      </c>
      <c r="I46" s="18" t="n">
        <v>0.15</v>
      </c>
      <c r="J46" s="5">
        <f>IFERROR($F46*$H46,"")</f>
        <v/>
      </c>
      <c r="K46" s="2" t="inlineStr">
        <is>
          <t>crew × days</t>
        </is>
      </c>
    </row>
    <row r="47">
      <c r="B47" s="17" t="inlineStr">
        <is>
          <t>Supervision</t>
        </is>
      </c>
      <c r="C47" t="inlineStr">
        <is>
          <t>L-SERVIN</t>
        </is>
      </c>
      <c r="D47" t="inlineStr">
        <is>
          <t>ENGINEER</t>
        </is>
      </c>
      <c r="E47" s="19" t="inlineStr">
        <is>
          <t>In-house</t>
        </is>
      </c>
      <c r="G47" t="inlineStr">
        <is>
          <t>hr</t>
        </is>
      </c>
      <c r="H47" s="5" t="n">
        <v>105</v>
      </c>
      <c r="I47" s="18" t="n">
        <v>0.15</v>
      </c>
      <c r="J47" s="5">
        <f>IFERROR($F47*$H47,"")</f>
        <v/>
      </c>
      <c r="K47" s="2" t="inlineStr">
        <is>
          <t>crew × days</t>
        </is>
      </c>
    </row>
    <row r="48">
      <c r="B48" s="17" t="inlineStr">
        <is>
          <t>Crane and access hire</t>
        </is>
      </c>
      <c r="C48" t="inlineStr">
        <is>
          <t>P-HIRE</t>
        </is>
      </c>
      <c r="D48" t="inlineStr">
        <is>
          <t>ENGINEER</t>
        </is>
      </c>
      <c r="G48" t="inlineStr">
        <is>
          <t>lot</t>
        </is>
      </c>
      <c r="H48" s="5" t="n"/>
      <c r="I48" s="18" t="n">
        <v>0.15</v>
      </c>
      <c r="J48" s="5">
        <f>IFERROR($F48*$H48,"")</f>
        <v/>
      </c>
      <c r="K48" s="2" t="inlineStr">
        <is>
          <t>carried on past jobs</t>
        </is>
      </c>
    </row>
    <row r="49">
      <c r="B49" s="17" t="inlineStr">
        <is>
          <t>Travel and accommodation</t>
        </is>
      </c>
      <c r="C49" t="inlineStr">
        <is>
          <t>D-TRAV</t>
        </is>
      </c>
      <c r="D49" t="inlineStr">
        <is>
          <t>ENGINEER</t>
        </is>
      </c>
      <c r="G49" t="inlineStr">
        <is>
          <t>lot</t>
        </is>
      </c>
      <c r="H49" s="5" t="n"/>
      <c r="I49" s="18" t="n">
        <v>0.15</v>
      </c>
      <c r="J49" s="5">
        <f>IFERROR($F49*$H49,"")</f>
        <v/>
      </c>
      <c r="K49" s="2" t="inlineStr">
        <is>
          <t>carried on past jobs</t>
        </is>
      </c>
    </row>
    <row r="50">
      <c r="B50" s="17" t="inlineStr">
        <is>
          <t>Site setup and safety</t>
        </is>
      </c>
      <c r="C50" t="inlineStr">
        <is>
          <t>P-SS</t>
        </is>
      </c>
      <c r="D50" t="inlineStr">
        <is>
          <t>ENGINEER</t>
        </is>
      </c>
      <c r="G50" t="inlineStr">
        <is>
          <t>lot</t>
        </is>
      </c>
      <c r="H50" s="5" t="n"/>
      <c r="I50" s="18" t="n">
        <v>0.15</v>
      </c>
      <c r="J50" s="5">
        <f>IFERROR($F50*$H50,"")</f>
        <v/>
      </c>
      <c r="K50" s="2" t="inlineStr">
        <is>
          <t>carried on past jobs</t>
        </is>
      </c>
    </row>
    <row r="51">
      <c r="A51" s="6" t="inlineStr">
        <is>
          <t>7.8</t>
        </is>
      </c>
      <c r="B51" s="6" t="inlineStr">
        <is>
          <t>Electrical power, control wiring and SCADA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7" t="n"/>
      <c r="B52" s="8" t="inlineStr">
        <is>
          <t>Power and control wiring</t>
        </is>
      </c>
      <c r="C52" s="7" t="inlineStr">
        <is>
          <t>ES-INST</t>
        </is>
      </c>
      <c r="D52" s="7" t="inlineStr">
        <is>
          <t>RFQ</t>
        </is>
      </c>
      <c r="E52" s="7" t="inlineStr">
        <is>
          <t>Subcontract</t>
        </is>
      </c>
      <c r="F52" s="7" t="n">
        <v>1</v>
      </c>
      <c r="G52" s="7" t="inlineStr">
        <is>
          <t>lot</t>
        </is>
      </c>
      <c r="H52" s="9" t="n"/>
      <c r="I52" s="10" t="n">
        <v>0.15</v>
      </c>
      <c r="J52" s="9">
        <f>IFERROR($F52*$H52,"")</f>
        <v/>
      </c>
      <c r="K52" s="11" t="inlineStr">
        <is>
          <t>from the maximum demand schedule</t>
        </is>
      </c>
    </row>
    <row r="53">
      <c r="A53" s="7" t="n"/>
      <c r="B53" s="8" t="inlineStr">
        <is>
          <t>SCADA integration — Ignition</t>
        </is>
      </c>
      <c r="C53" s="7" t="inlineStr">
        <is>
          <t>ES-AU</t>
        </is>
      </c>
      <c r="D53" s="7" t="inlineStr">
        <is>
          <t>RFQ</t>
        </is>
      </c>
      <c r="E53" s="7" t="inlineStr">
        <is>
          <t>Subcontract</t>
        </is>
      </c>
      <c r="F53" s="7" t="n">
        <v>1</v>
      </c>
      <c r="G53" s="7" t="inlineStr">
        <is>
          <t>lot</t>
        </is>
      </c>
      <c r="H53" s="9" t="n"/>
      <c r="I53" s="10" t="n">
        <v>0.15</v>
      </c>
      <c r="J53" s="9">
        <f>IFERROR($F53*$H53,"")</f>
        <v/>
      </c>
      <c r="K53" s="11" t="inlineStr">
        <is>
          <t>electrical contractor</t>
        </is>
      </c>
    </row>
    <row r="54">
      <c r="A54" s="6" t="inlineStr">
        <is>
          <t>7.9</t>
        </is>
      </c>
      <c r="B54" s="6" t="inlineStr">
        <is>
          <t>As-built documentation, training, O&amp;M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B55" s="17" t="inlineStr">
        <is>
          <t>As-built drawings</t>
        </is>
      </c>
      <c r="C55" t="inlineStr">
        <is>
          <t>L-DWG</t>
        </is>
      </c>
      <c r="D55" t="inlineStr">
        <is>
          <t>ENGINEER</t>
        </is>
      </c>
      <c r="E55" s="19" t="inlineStr">
        <is>
          <t>In-house</t>
        </is>
      </c>
      <c r="G55" t="inlineStr">
        <is>
          <t>hr</t>
        </is>
      </c>
      <c r="H55" s="5" t="n">
        <v>140</v>
      </c>
      <c r="I55" s="18" t="n">
        <v>0.15</v>
      </c>
      <c r="J55" s="5">
        <f>IFERROR($F55*$H55,"")</f>
        <v/>
      </c>
      <c r="K55" s="2" t="inlineStr">
        <is>
          <t>hours to be entered</t>
        </is>
      </c>
    </row>
    <row r="56">
      <c r="B56" s="17" t="inlineStr">
        <is>
          <t>Training</t>
        </is>
      </c>
      <c r="C56" t="inlineStr">
        <is>
          <t>L-DWG</t>
        </is>
      </c>
      <c r="D56" t="inlineStr">
        <is>
          <t>ENGINEER</t>
        </is>
      </c>
      <c r="E56" s="19" t="inlineStr">
        <is>
          <t>In-house</t>
        </is>
      </c>
      <c r="G56" t="inlineStr">
        <is>
          <t>hr</t>
        </is>
      </c>
      <c r="H56" s="5" t="n">
        <v>140</v>
      </c>
      <c r="I56" s="18" t="n">
        <v>0.15</v>
      </c>
      <c r="J56" s="5">
        <f>IFERROR($F56*$H56,"")</f>
        <v/>
      </c>
      <c r="K56" s="2" t="inlineStr">
        <is>
          <t>hours to be entered</t>
        </is>
      </c>
    </row>
    <row r="57">
      <c r="B57" s="17" t="inlineStr">
        <is>
          <t>O&amp;M manuals</t>
        </is>
      </c>
      <c r="C57" t="inlineStr">
        <is>
          <t>L-DWG</t>
        </is>
      </c>
      <c r="D57" t="inlineStr">
        <is>
          <t>ENGINEER</t>
        </is>
      </c>
      <c r="E57" s="19" t="inlineStr">
        <is>
          <t>In-house</t>
        </is>
      </c>
      <c r="G57" t="inlineStr">
        <is>
          <t>hr</t>
        </is>
      </c>
      <c r="H57" s="5" t="n">
        <v>140</v>
      </c>
      <c r="I57" s="18" t="n">
        <v>0.15</v>
      </c>
      <c r="J57" s="5">
        <f>IFERROR($F57*$H57,"")</f>
        <v/>
      </c>
      <c r="K57" s="2" t="inlineStr">
        <is>
          <t>hours to be entered</t>
        </is>
      </c>
    </row>
    <row r="58">
      <c r="B58" s="17" t="inlineStr">
        <is>
          <t>Producer statements</t>
        </is>
      </c>
      <c r="C58" t="inlineStr">
        <is>
          <t>L-DV</t>
        </is>
      </c>
      <c r="D58" t="inlineStr">
        <is>
          <t>ENGINEER</t>
        </is>
      </c>
      <c r="E58" s="19" t="inlineStr">
        <is>
          <t>In-house</t>
        </is>
      </c>
      <c r="G58" t="inlineStr">
        <is>
          <t>hr</t>
        </is>
      </c>
      <c r="H58" s="5" t="n">
        <v>140</v>
      </c>
      <c r="I58" s="18" t="n">
        <v>0.15</v>
      </c>
      <c r="J58" s="5">
        <f>IFERROR($F58*$H58,"")</f>
        <v/>
      </c>
      <c r="K58" s="2" t="inlineStr">
        <is>
          <t>hours to be entered</t>
        </is>
      </c>
    </row>
    <row r="59">
      <c r="B59" s="17" t="inlineStr">
        <is>
          <t>Compliance and inspection</t>
        </is>
      </c>
      <c r="C59" t="inlineStr">
        <is>
          <t>P-RCOMP</t>
        </is>
      </c>
      <c r="D59" t="inlineStr">
        <is>
          <t>ENGINEER</t>
        </is>
      </c>
      <c r="G59" t="inlineStr">
        <is>
          <t>lot</t>
        </is>
      </c>
      <c r="H59" s="5" t="n"/>
      <c r="I59" s="18" t="n">
        <v>0.15</v>
      </c>
      <c r="J59" s="5">
        <f>IFERROR($F59*$H59,"")</f>
        <v/>
      </c>
      <c r="K59" s="2" t="inlineStr">
        <is>
          <t>carried on past jobs</t>
        </is>
      </c>
    </row>
    <row r="60">
      <c r="A60" s="6" t="inlineStr">
        <is>
          <t>7.10</t>
        </is>
      </c>
      <c r="B60" s="6" t="inlineStr">
        <is>
          <t>Commissioning, glycol charge and spares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B61" s="17" t="inlineStr">
        <is>
          <t>Commissioning and pulldown demonstration</t>
        </is>
      </c>
      <c r="C61" t="inlineStr">
        <is>
          <t>L-COM</t>
        </is>
      </c>
      <c r="D61" t="inlineStr">
        <is>
          <t>ENGINEER</t>
        </is>
      </c>
      <c r="E61" s="19" t="inlineStr">
        <is>
          <t>In-house</t>
        </is>
      </c>
      <c r="G61" t="inlineStr">
        <is>
          <t>hr</t>
        </is>
      </c>
      <c r="H61" s="5" t="n">
        <v>105</v>
      </c>
      <c r="I61" s="18" t="n">
        <v>0.15</v>
      </c>
      <c r="J61" s="5">
        <f>IFERROR($F61*$H61,"")</f>
        <v/>
      </c>
      <c r="K61" s="2" t="inlineStr">
        <is>
          <t>to be entered</t>
        </is>
      </c>
    </row>
    <row r="62">
      <c r="B62" s="17" t="inlineStr">
        <is>
          <t>Glycol charge — MPG 35%</t>
        </is>
      </c>
      <c r="C62" t="inlineStr">
        <is>
          <t>R-GLY</t>
        </is>
      </c>
      <c r="D62" t="inlineStr">
        <is>
          <t>ENGINEER</t>
        </is>
      </c>
      <c r="G62" t="inlineStr">
        <is>
          <t>L</t>
        </is>
      </c>
      <c r="H62" s="5" t="n"/>
      <c r="I62" s="18" t="n">
        <v>0.15</v>
      </c>
      <c r="J62" s="5">
        <f>IFERROR($F62*$H62,"")</f>
        <v/>
      </c>
      <c r="K62" s="2" t="inlineStr">
        <is>
          <t>to be entered</t>
        </is>
      </c>
    </row>
    <row r="63">
      <c r="B63" s="17" t="inlineStr">
        <is>
          <t>Spare parts</t>
        </is>
      </c>
      <c r="C63" t="inlineStr">
        <is>
          <t>M-GEN</t>
        </is>
      </c>
      <c r="D63" t="inlineStr">
        <is>
          <t>ENGINEER</t>
        </is>
      </c>
      <c r="G63" t="inlineStr">
        <is>
          <t>ea</t>
        </is>
      </c>
      <c r="H63" s="5" t="n"/>
      <c r="I63" s="18" t="n">
        <v>0.15</v>
      </c>
      <c r="J63" s="5">
        <f>IFERROR($F63*$H63,"")</f>
        <v/>
      </c>
      <c r="K63" s="2" t="inlineStr">
        <is>
          <t>to be entered</t>
        </is>
      </c>
    </row>
    <row r="64">
      <c r="A64" s="6" t="inlineStr">
        <is>
          <t>7.11</t>
        </is>
      </c>
      <c r="B64" s="6" t="inlineStr">
        <is>
          <t>Twelve months defects liability and routine maintenance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B65" s="17" t="inlineStr">
        <is>
          <t>Routine maintenance, 12 months</t>
        </is>
      </c>
      <c r="C65" t="inlineStr">
        <is>
          <t>D-MAINT</t>
        </is>
      </c>
      <c r="D65" t="inlineStr">
        <is>
          <t>ENGINEER</t>
        </is>
      </c>
      <c r="F65" t="n">
        <v>4</v>
      </c>
      <c r="G65" t="inlineStr">
        <is>
          <t>visit</t>
        </is>
      </c>
      <c r="H65" s="5" t="n"/>
      <c r="I65" s="18" t="n">
        <v>0.15</v>
      </c>
      <c r="J65" s="5">
        <f>IFERROR($F65*$H65,"")</f>
        <v/>
      </c>
      <c r="K65" s="2" t="inlineStr">
        <is>
          <t>rate to be entered</t>
        </is>
      </c>
    </row>
    <row r="66">
      <c r="B66" s="17" t="inlineStr">
        <is>
          <t>Contingency</t>
        </is>
      </c>
      <c r="C66" t="inlineStr">
        <is>
          <t>D-CONT</t>
        </is>
      </c>
      <c r="D66" t="inlineStr">
        <is>
          <t>ENGINEER</t>
        </is>
      </c>
      <c r="G66" t="inlineStr">
        <is>
          <t>lot</t>
        </is>
      </c>
      <c r="H66" s="5" t="n"/>
      <c r="I66" s="18" t="n">
        <v>0.15</v>
      </c>
      <c r="J66" s="5">
        <f>IFERROR($F66*$H66,"")</f>
        <v/>
      </c>
      <c r="K66" s="2" t="inlineStr">
        <is>
          <t>carried on past jobs</t>
        </is>
      </c>
    </row>
  </sheetData>
  <dataValidations count="1">
    <dataValidation sqref="E39 E40 E41 E42 E43 E44 E45 E46 E47 E52 E53 E55 E56 E57 E58 E61" showDropDown="0" showInputMessage="0" showErrorMessage="0" allowBlank="1" type="list">
      <formula1>"In-house,Subcontract"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17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6" customWidth="1" min="11" max="11"/>
  </cols>
  <sheetData>
    <row r="1">
      <c r="A1" s="4" t="inlineStr">
        <is>
          <t>Load</t>
        </is>
      </c>
      <c r="B1" s="4" t="inlineStr">
        <is>
          <t>Duty</t>
        </is>
      </c>
      <c r="C1" s="4" t="inlineStr">
        <is>
          <t>Unit</t>
        </is>
      </c>
      <c r="D1" s="4" t="inlineStr">
        <is>
          <t>Starter</t>
        </is>
      </c>
      <c r="E1" s="4" t="inlineStr">
        <is>
          <t>DI</t>
        </is>
      </c>
      <c r="F1" s="4" t="inlineStr">
        <is>
          <t>DO</t>
        </is>
      </c>
      <c r="G1" s="4" t="inlineStr">
        <is>
          <t>AI</t>
        </is>
      </c>
      <c r="H1" s="4" t="inlineStr">
        <is>
          <t>RTD</t>
        </is>
      </c>
      <c r="I1" s="4" t="inlineStr">
        <is>
          <t>AO</t>
        </is>
      </c>
      <c r="J1" s="4" t="inlineStr">
        <is>
          <t>Comms</t>
        </is>
      </c>
      <c r="K1" s="4" t="inlineStr">
        <is>
          <t>IFM</t>
        </is>
      </c>
    </row>
    <row r="2">
      <c r="A2" t="inlineStr">
        <is>
          <t>COMPRESSOR 1</t>
        </is>
      </c>
      <c r="B2" t="n">
        <v>90</v>
      </c>
      <c r="C2" t="inlineStr">
        <is>
          <t>kW</t>
        </is>
      </c>
      <c r="D2" t="inlineStr">
        <is>
          <t>IE5 VSD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t="inlineStr">
        <is>
          <t>UNIT COOLER 1</t>
        </is>
      </c>
      <c r="B3" t="n">
        <v>55</v>
      </c>
      <c r="C3" t="inlineStr">
        <is>
          <t>kWR</t>
        </is>
      </c>
      <c r="D3" t="inlineStr">
        <is>
          <t>EC Fan Supply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</row>
    <row r="4">
      <c r="A4" t="inlineStr">
        <is>
          <t>COMPRESSOR 2</t>
        </is>
      </c>
      <c r="B4" t="n">
        <v>90</v>
      </c>
      <c r="C4" t="inlineStr">
        <is>
          <t>kW</t>
        </is>
      </c>
      <c r="D4" t="inlineStr">
        <is>
          <t>IE5 VSD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UNIT COOLER 2</t>
        </is>
      </c>
      <c r="B5" t="n">
        <v>55</v>
      </c>
      <c r="C5" t="inlineStr">
        <is>
          <t>kWR</t>
        </is>
      </c>
      <c r="D5" t="inlineStr">
        <is>
          <t>EC Fan Supply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</row>
    <row r="6">
      <c r="A6" t="inlineStr">
        <is>
          <t>CONDENSER</t>
        </is>
      </c>
      <c r="B6" t="n">
        <v>620</v>
      </c>
      <c r="C6" t="inlineStr">
        <is>
          <t>kWR</t>
        </is>
      </c>
      <c r="D6" t="inlineStr">
        <is>
          <t>EC Fan Supply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UNIT COOLER 3</t>
        </is>
      </c>
      <c r="B7" t="n">
        <v>55</v>
      </c>
      <c r="C7" t="inlineStr">
        <is>
          <t>kWR</t>
        </is>
      </c>
      <c r="D7" t="inlineStr">
        <is>
          <t>EC Fan Supply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12" t="inlineStr">
        <is>
          <t>CHILLER PHE</t>
        </is>
      </c>
      <c r="B8" s="12" t="n">
        <v>520</v>
      </c>
      <c r="C8" s="12" t="inlineStr">
        <is>
          <t>kWR</t>
        </is>
      </c>
      <c r="D8" s="12" t="inlineStr">
        <is>
          <t>ENGINEER</t>
        </is>
      </c>
      <c r="E8" s="12" t="inlineStr">
        <is>
          <t>??</t>
        </is>
      </c>
      <c r="F8" s="12" t="inlineStr">
        <is>
          <t>??</t>
        </is>
      </c>
      <c r="G8" s="12" t="inlineStr">
        <is>
          <t>??</t>
        </is>
      </c>
      <c r="H8" s="12" t="inlineStr">
        <is>
          <t>??</t>
        </is>
      </c>
      <c r="I8" s="12" t="inlineStr">
        <is>
          <t>??</t>
        </is>
      </c>
      <c r="J8" s="12" t="inlineStr">
        <is>
          <t>??</t>
        </is>
      </c>
      <c r="K8" s="12" t="inlineStr">
        <is>
          <t>??</t>
        </is>
      </c>
    </row>
    <row r="9">
      <c r="A9" t="inlineStr">
        <is>
          <t>GLYCOL PUMP 1</t>
        </is>
      </c>
      <c r="B9" t="n">
        <v>15</v>
      </c>
      <c r="C9" t="inlineStr">
        <is>
          <t>kW</t>
        </is>
      </c>
      <c r="D9" t="inlineStr">
        <is>
          <t>VSD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UNIT COOLER 4</t>
        </is>
      </c>
      <c r="B10" t="n">
        <v>55</v>
      </c>
      <c r="C10" t="inlineStr">
        <is>
          <t>kWR</t>
        </is>
      </c>
      <c r="D10" t="inlineStr">
        <is>
          <t>EC Fan Supply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GLYCOL PUMP 2</t>
        </is>
      </c>
      <c r="B11" t="n">
        <v>15</v>
      </c>
      <c r="C11" t="inlineStr">
        <is>
          <t>kW</t>
        </is>
      </c>
      <c r="D11" t="inlineStr">
        <is>
          <t>VSD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  <row r="12">
      <c r="A12" t="inlineStr">
        <is>
          <t>DEFROST PUMP</t>
        </is>
      </c>
      <c r="B12" t="n">
        <v>4</v>
      </c>
      <c r="C12" t="inlineStr">
        <is>
          <t>kW</t>
        </is>
      </c>
      <c r="D12" t="inlineStr">
        <is>
          <t>VSD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4">
      <c r="A14" s="3" t="inlineStr">
        <is>
          <t>TOTAL CONNECTED</t>
        </is>
      </c>
      <c r="B14" s="3" t="n">
        <v>1574</v>
      </c>
      <c r="C14" s="3" t="inlineStr">
        <is>
          <t>kW</t>
        </is>
      </c>
      <c r="D14" s="3" t="n"/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10</v>
      </c>
      <c r="K1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30" customWidth="1" min="7" max="7"/>
  </cols>
  <sheetData>
    <row r="1">
      <c r="A1" s="4" t="inlineStr">
        <is>
          <t>From the P&amp;ID</t>
        </is>
      </c>
      <c r="B1" s="4" t="inlineStr">
        <is>
          <t>Size</t>
        </is>
      </c>
      <c r="C1" s="4" t="inlineStr">
        <is>
          <t>Fitting</t>
        </is>
      </c>
      <c r="D1" s="4" t="inlineStr">
        <is>
          <t>Count</t>
        </is>
      </c>
      <c r="E1" s="4" t="inlineStr">
        <is>
          <t>Hours each</t>
        </is>
      </c>
      <c r="F1" s="4" t="inlineStr">
        <is>
          <t>Total hours</t>
        </is>
      </c>
      <c r="G1" s="4" t="inlineStr">
        <is>
          <t>Note</t>
        </is>
      </c>
    </row>
    <row r="2">
      <c r="A2" t="inlineStr">
        <is>
          <t>50TE</t>
        </is>
      </c>
      <c r="B2" t="inlineStr">
        <is>
          <t>2"</t>
        </is>
      </c>
      <c r="C2" t="inlineStr">
        <is>
          <t>Buttweld</t>
        </is>
      </c>
      <c r="D2" t="n">
        <v>10</v>
      </c>
      <c r="E2" s="20">
        <f>IFERROR(INDEX('Welding hours'!$D$3:$O$14,MATCH($B2,'Welding hours'!$C$3:$C$14,0),MATCH($C2,'Welding hours'!$D$2:$O$2,0)),0)</f>
        <v/>
      </c>
      <c r="F2" s="20">
        <f>D2*E2</f>
        <v/>
      </c>
      <c r="G2" t="inlineStr">
        <is>
          <t>counted on the drawing</t>
        </is>
      </c>
    </row>
    <row r="3">
      <c r="A3" t="inlineStr">
        <is>
          <t>50TE</t>
        </is>
      </c>
      <c r="B3" t="inlineStr">
        <is>
          <t>2"</t>
        </is>
      </c>
      <c r="C3" t="inlineStr">
        <is>
          <t>Elbow</t>
        </is>
      </c>
      <c r="D3" t="n">
        <v>0</v>
      </c>
      <c r="E3" s="20">
        <f>IFERROR(INDEX('Welding hours'!$D$3:$O$14,MATCH($B3,'Welding hours'!$C$3:$C$14,0),MATCH($C3,'Welding hours'!$D$2:$O$2,0)),0)</f>
        <v/>
      </c>
      <c r="F3" s="20">
        <f>D3*E3</f>
        <v/>
      </c>
      <c r="G3" t="inlineStr">
        <is>
          <t>counted on the drawing</t>
        </is>
      </c>
    </row>
    <row r="4">
      <c r="A4" t="inlineStr">
        <is>
          <t>80TE</t>
        </is>
      </c>
      <c r="B4" t="inlineStr">
        <is>
          <t>3"</t>
        </is>
      </c>
      <c r="C4" t="inlineStr">
        <is>
          <t>Buttweld</t>
        </is>
      </c>
      <c r="D4" t="n">
        <v>6</v>
      </c>
      <c r="E4" s="20">
        <f>IFERROR(INDEX('Welding hours'!$D$3:$O$14,MATCH($B4,'Welding hours'!$C$3:$C$14,0),MATCH($C4,'Welding hours'!$D$2:$O$2,0)),0)</f>
        <v/>
      </c>
      <c r="F4" s="20">
        <f>D4*E4</f>
        <v/>
      </c>
      <c r="G4" t="inlineStr">
        <is>
          <t>counted on the drawing</t>
        </is>
      </c>
    </row>
    <row r="5">
      <c r="A5" t="inlineStr">
        <is>
          <t>80TE</t>
        </is>
      </c>
      <c r="B5" t="inlineStr">
        <is>
          <t>3"</t>
        </is>
      </c>
      <c r="C5" t="inlineStr">
        <is>
          <t>Elbow</t>
        </is>
      </c>
      <c r="D5" t="n">
        <v>0</v>
      </c>
      <c r="E5" s="20">
        <f>IFERROR(INDEX('Welding hours'!$D$3:$O$14,MATCH($B5,'Welding hours'!$C$3:$C$14,0),MATCH($C5,'Welding hours'!$D$2:$O$2,0)),0)</f>
        <v/>
      </c>
      <c r="F5" s="20">
        <f>D5*E5</f>
        <v/>
      </c>
      <c r="G5" t="inlineStr">
        <is>
          <t>counted on the drawing</t>
        </is>
      </c>
    </row>
    <row r="6">
      <c r="A6" t="inlineStr">
        <is>
          <t>40PN</t>
        </is>
      </c>
      <c r="B6" t="inlineStr">
        <is>
          <t>1 1/2"</t>
        </is>
      </c>
      <c r="C6" t="inlineStr">
        <is>
          <t>Buttweld</t>
        </is>
      </c>
      <c r="D6" t="n">
        <v>2</v>
      </c>
      <c r="E6" s="20">
        <f>IFERROR(INDEX('Welding hours'!$D$3:$O$14,MATCH($B6,'Welding hours'!$C$3:$C$14,0),MATCH($C6,'Welding hours'!$D$2:$O$2,0)),0)</f>
        <v/>
      </c>
      <c r="F6" s="20">
        <f>D6*E6</f>
        <v/>
      </c>
      <c r="G6" t="inlineStr">
        <is>
          <t>counted on the drawing</t>
        </is>
      </c>
    </row>
    <row r="7">
      <c r="A7" t="inlineStr">
        <is>
          <t>40PN</t>
        </is>
      </c>
      <c r="B7" t="inlineStr">
        <is>
          <t>1 1/2"</t>
        </is>
      </c>
      <c r="C7" t="inlineStr">
        <is>
          <t>Elbow</t>
        </is>
      </c>
      <c r="D7" t="n">
        <v>0</v>
      </c>
      <c r="E7" s="20">
        <f>IFERROR(INDEX('Welding hours'!$D$3:$O$14,MATCH($B7,'Welding hours'!$C$3:$C$14,0),MATCH($C7,'Welding hours'!$D$2:$O$2,0)),0)</f>
        <v/>
      </c>
      <c r="F7" s="20">
        <f>D7*E7</f>
        <v/>
      </c>
      <c r="G7" t="inlineStr">
        <is>
          <t>counted on the drawing</t>
        </is>
      </c>
    </row>
    <row r="8">
      <c r="A8" t="inlineStr">
        <is>
          <t>65PN</t>
        </is>
      </c>
      <c r="B8" t="inlineStr">
        <is>
          <t>2 1/2"</t>
        </is>
      </c>
      <c r="C8" t="inlineStr">
        <is>
          <t>Buttweld</t>
        </is>
      </c>
      <c r="D8" t="n">
        <v>1</v>
      </c>
      <c r="E8" s="20">
        <f>IFERROR(INDEX('Welding hours'!$D$3:$O$14,MATCH($B8,'Welding hours'!$C$3:$C$14,0),MATCH($C8,'Welding hours'!$D$2:$O$2,0)),0)</f>
        <v/>
      </c>
      <c r="F8" s="20">
        <f>D8*E8</f>
        <v/>
      </c>
      <c r="G8" t="inlineStr">
        <is>
          <t>counted on the drawing</t>
        </is>
      </c>
    </row>
    <row r="9">
      <c r="A9" t="inlineStr">
        <is>
          <t>65PN</t>
        </is>
      </c>
      <c r="B9" t="inlineStr">
        <is>
          <t>2 1/2"</t>
        </is>
      </c>
      <c r="C9" t="inlineStr">
        <is>
          <t>Elbow</t>
        </is>
      </c>
      <c r="D9" t="n">
        <v>0</v>
      </c>
      <c r="E9" s="20">
        <f>IFERROR(INDEX('Welding hours'!$D$3:$O$14,MATCH($B9,'Welding hours'!$C$3:$C$14,0),MATCH($C9,'Welding hours'!$D$2:$O$2,0)),0)</f>
        <v/>
      </c>
      <c r="F9" s="20">
        <f>D9*E9</f>
        <v/>
      </c>
      <c r="G9" t="inlineStr">
        <is>
          <t>counted on the drawing</t>
        </is>
      </c>
    </row>
    <row r="10">
      <c r="A10" t="inlineStr">
        <is>
          <t>65TE</t>
        </is>
      </c>
      <c r="B10" t="inlineStr">
        <is>
          <t>2 1/2"</t>
        </is>
      </c>
      <c r="C10" t="inlineStr">
        <is>
          <t>Buttweld</t>
        </is>
      </c>
      <c r="D10" t="n">
        <v>1</v>
      </c>
      <c r="E10" s="20">
        <f>IFERROR(INDEX('Welding hours'!$D$3:$O$14,MATCH($B10,'Welding hours'!$C$3:$C$14,0),MATCH($C10,'Welding hours'!$D$2:$O$2,0)),0)</f>
        <v/>
      </c>
      <c r="F10" s="20">
        <f>D10*E10</f>
        <v/>
      </c>
      <c r="G10" t="inlineStr">
        <is>
          <t>counted on the drawing</t>
        </is>
      </c>
    </row>
    <row r="11">
      <c r="A11" t="inlineStr">
        <is>
          <t>65TE</t>
        </is>
      </c>
      <c r="B11" t="inlineStr">
        <is>
          <t>2 1/2"</t>
        </is>
      </c>
      <c r="C11" t="inlineStr">
        <is>
          <t>Elbow</t>
        </is>
      </c>
      <c r="D11" t="n">
        <v>0</v>
      </c>
      <c r="E11" s="20">
        <f>IFERROR(INDEX('Welding hours'!$D$3:$O$14,MATCH($B11,'Welding hours'!$C$3:$C$14,0),MATCH($C11,'Welding hours'!$D$2:$O$2,0)),0)</f>
        <v/>
      </c>
      <c r="F11" s="20">
        <f>D11*E11</f>
        <v/>
      </c>
      <c r="G11" t="inlineStr">
        <is>
          <t>counted on the drawing</t>
        </is>
      </c>
    </row>
    <row r="12">
      <c r="A12" s="12" t="inlineStr">
        <is>
          <t>42mm 304 press</t>
        </is>
      </c>
      <c r="B12" s="12" t="inlineStr">
        <is>
          <t>1 1/2"</t>
        </is>
      </c>
      <c r="C12" s="12" t="inlineStr">
        <is>
          <t>Straight</t>
        </is>
      </c>
      <c r="D12" s="12" t="n"/>
      <c r="E12" s="21">
        <f>IFERROR(INDEX('Welding hours'!$D$3:$O$14,MATCH($B12,'Welding hours'!$C$3:$C$14,0),MATCH($C12,'Welding hours'!$D$2:$O$2,0)),0)</f>
        <v/>
      </c>
      <c r="F12" s="21">
        <f>D12*E12</f>
        <v/>
      </c>
      <c r="G12" s="12" t="inlineStr">
        <is>
          <t>metres ÷ 6 m stick → welds — enter metres</t>
        </is>
      </c>
    </row>
    <row r="13">
      <c r="A13" s="12" t="inlineStr">
        <is>
          <t>100NB</t>
        </is>
      </c>
      <c r="B13" s="12" t="inlineStr">
        <is>
          <t>4"</t>
        </is>
      </c>
      <c r="C13" s="12" t="inlineStr">
        <is>
          <t>Straight</t>
        </is>
      </c>
      <c r="D13" s="12" t="n"/>
      <c r="E13" s="21">
        <f>IFERROR(INDEX('Welding hours'!$D$3:$O$14,MATCH($B13,'Welding hours'!$C$3:$C$14,0),MATCH($C13,'Welding hours'!$D$2:$O$2,0)),0)</f>
        <v/>
      </c>
      <c r="F13" s="21">
        <f>D13*E13</f>
        <v/>
      </c>
      <c r="G13" s="12" t="inlineStr">
        <is>
          <t>metres ÷ 6 m stick → welds — enter metres</t>
        </is>
      </c>
    </row>
    <row r="14">
      <c r="A14" s="12" t="inlineStr">
        <is>
          <t>80NB</t>
        </is>
      </c>
      <c r="B14" s="12" t="inlineStr">
        <is>
          <t>3"</t>
        </is>
      </c>
      <c r="C14" s="12" t="inlineStr">
        <is>
          <t>Straight</t>
        </is>
      </c>
      <c r="D14" s="12" t="n"/>
      <c r="E14" s="21">
        <f>IFERROR(INDEX('Welding hours'!$D$3:$O$14,MATCH($B14,'Welding hours'!$C$3:$C$14,0),MATCH($C14,'Welding hours'!$D$2:$O$2,0)),0)</f>
        <v/>
      </c>
      <c r="F14" s="21">
        <f>D14*E14</f>
        <v/>
      </c>
      <c r="G14" s="12" t="inlineStr">
        <is>
          <t>metres ÷ 6 m stick → welds — enter metres</t>
        </is>
      </c>
    </row>
    <row r="15">
      <c r="A15" s="12" t="inlineStr">
        <is>
          <t>101mm tube</t>
        </is>
      </c>
      <c r="B15" s="12" t="inlineStr">
        <is>
          <t>4"</t>
        </is>
      </c>
      <c r="C15" s="12" t="inlineStr">
        <is>
          <t>Straight</t>
        </is>
      </c>
      <c r="D15" s="12" t="n"/>
      <c r="E15" s="21">
        <f>IFERROR(INDEX('Welding hours'!$D$3:$O$14,MATCH($B15,'Welding hours'!$C$3:$C$14,0),MATCH($C15,'Welding hours'!$D$2:$O$2,0)),0)</f>
        <v/>
      </c>
      <c r="F15" s="21">
        <f>D15*E15</f>
        <v/>
      </c>
      <c r="G15" s="12" t="inlineStr">
        <is>
          <t>metres ÷ 6 m stick → welds — enter metres</t>
        </is>
      </c>
    </row>
    <row r="16">
      <c r="A16" s="12" t="inlineStr">
        <is>
          <t>63mm tube</t>
        </is>
      </c>
      <c r="B16" s="12" t="inlineStr">
        <is>
          <t>2 1/2"</t>
        </is>
      </c>
      <c r="C16" s="12" t="inlineStr">
        <is>
          <t>Straight</t>
        </is>
      </c>
      <c r="D16" s="12" t="n"/>
      <c r="E16" s="21">
        <f>IFERROR(INDEX('Welding hours'!$D$3:$O$14,MATCH($B16,'Welding hours'!$C$3:$C$14,0),MATCH($C16,'Welding hours'!$D$2:$O$2,0)),0)</f>
        <v/>
      </c>
      <c r="F16" s="21">
        <f>D16*E16</f>
        <v/>
      </c>
      <c r="G16" s="12" t="inlineStr">
        <is>
          <t>metres ÷ 6 m stick → welds — enter metres</t>
        </is>
      </c>
    </row>
    <row r="17">
      <c r="A17" s="12" t="inlineStr">
        <is>
          <t>76mm 304 press</t>
        </is>
      </c>
      <c r="B17" s="12" t="inlineStr">
        <is>
          <t>3"</t>
        </is>
      </c>
      <c r="C17" s="12" t="inlineStr">
        <is>
          <t>Straight</t>
        </is>
      </c>
      <c r="D17" s="12" t="n"/>
      <c r="E17" s="21">
        <f>IFERROR(INDEX('Welding hours'!$D$3:$O$14,MATCH($B17,'Welding hours'!$C$3:$C$14,0),MATCH($C17,'Welding hours'!$D$2:$O$2,0)),0)</f>
        <v/>
      </c>
      <c r="F17" s="21">
        <f>D17*E17</f>
        <v/>
      </c>
      <c r="G17" s="12" t="inlineStr">
        <is>
          <t>metres ÷ 6 m stick → welds — enter metres</t>
        </is>
      </c>
    </row>
    <row r="18">
      <c r="A18" s="12" t="inlineStr">
        <is>
          <t>54mm 304 press</t>
        </is>
      </c>
      <c r="B18" s="12" t="inlineStr">
        <is>
          <t>2"</t>
        </is>
      </c>
      <c r="C18" s="12" t="inlineStr">
        <is>
          <t>Straight</t>
        </is>
      </c>
      <c r="D18" s="12" t="n"/>
      <c r="E18" s="21">
        <f>IFERROR(INDEX('Welding hours'!$D$3:$O$14,MATCH($B18,'Welding hours'!$C$3:$C$14,0),MATCH($C18,'Welding hours'!$D$2:$O$2,0)),0)</f>
        <v/>
      </c>
      <c r="F18" s="21">
        <f>D18*E18</f>
        <v/>
      </c>
      <c r="G18" s="12" t="inlineStr">
        <is>
          <t>metres ÷ 6 m stick → welds — enter metres</t>
        </is>
      </c>
    </row>
    <row r="20">
      <c r="A20" s="3" t="inlineStr">
        <is>
          <t>TOTAL</t>
        </is>
      </c>
      <c r="B20" s="3" t="n"/>
      <c r="C20" s="3" t="n"/>
      <c r="D20" s="3" t="n"/>
      <c r="E20" s="3" t="n"/>
      <c r="F20" s="22">
        <f>SUM(F2:F18)</f>
        <v/>
      </c>
      <c r="G2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1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>
      <c r="C2" s="23" t="inlineStr">
        <is>
          <t>Rates</t>
        </is>
      </c>
      <c r="D2" s="23" t="inlineStr">
        <is>
          <t>Weld Neck</t>
        </is>
      </c>
      <c r="E2" s="23" t="inlineStr">
        <is>
          <t>Slip On</t>
        </is>
      </c>
      <c r="F2" s="23" t="inlineStr">
        <is>
          <t>Blind</t>
        </is>
      </c>
      <c r="G2" s="23" t="inlineStr">
        <is>
          <t>Socket Weld</t>
        </is>
      </c>
      <c r="H2" s="23" t="inlineStr">
        <is>
          <t>Straight</t>
        </is>
      </c>
      <c r="I2" s="23" t="inlineStr">
        <is>
          <t>Buttweld</t>
        </is>
      </c>
      <c r="J2" s="23" t="inlineStr">
        <is>
          <t>Elbow</t>
        </is>
      </c>
      <c r="K2" s="23" t="inlineStr">
        <is>
          <t>Tee</t>
        </is>
      </c>
      <c r="L2" s="23" t="inlineStr">
        <is>
          <t>Reducer</t>
        </is>
      </c>
      <c r="M2" s="23" t="inlineStr">
        <is>
          <t>Cap</t>
        </is>
      </c>
      <c r="N2" s="23" t="inlineStr">
        <is>
          <t>Branch</t>
        </is>
      </c>
      <c r="O2" s="23" t="inlineStr">
        <is>
          <t>Stab In</t>
        </is>
      </c>
    </row>
    <row r="3">
      <c r="C3" t="inlineStr">
        <is>
          <t>1/2"</t>
        </is>
      </c>
      <c r="D3" t="n">
        <v>0.7</v>
      </c>
      <c r="E3" t="n">
        <v>0.7</v>
      </c>
      <c r="F3" t="n">
        <v>0.23</v>
      </c>
      <c r="G3" t="n">
        <v>0.3</v>
      </c>
      <c r="H3" t="n">
        <v>0.25</v>
      </c>
      <c r="I3" t="n">
        <v>0.5</v>
      </c>
      <c r="J3" t="n">
        <v>1</v>
      </c>
      <c r="K3" t="n">
        <v>1.5</v>
      </c>
      <c r="L3" t="n">
        <v>0.9</v>
      </c>
      <c r="M3" t="n">
        <v>0.5</v>
      </c>
      <c r="N3" t="n">
        <v>0.75</v>
      </c>
      <c r="O3" t="n">
        <v>0.45</v>
      </c>
    </row>
    <row r="4">
      <c r="C4" t="inlineStr">
        <is>
          <t>3/4"</t>
        </is>
      </c>
      <c r="D4" t="n">
        <v>0.98</v>
      </c>
      <c r="E4" t="n">
        <v>0.98</v>
      </c>
      <c r="F4" t="n">
        <v>0.32</v>
      </c>
      <c r="G4" t="n">
        <v>0.42</v>
      </c>
      <c r="H4" t="n">
        <v>0.35</v>
      </c>
      <c r="I4" t="n">
        <v>0.7</v>
      </c>
      <c r="J4" t="n">
        <v>1.4</v>
      </c>
      <c r="K4" t="n">
        <v>2.1</v>
      </c>
      <c r="L4" t="n">
        <v>1.26</v>
      </c>
      <c r="M4" t="n">
        <v>0.7</v>
      </c>
      <c r="N4" t="n">
        <v>1.05</v>
      </c>
      <c r="O4" t="n">
        <v>0.63</v>
      </c>
    </row>
    <row r="5">
      <c r="C5" t="inlineStr">
        <is>
          <t>1"</t>
        </is>
      </c>
      <c r="D5" t="n">
        <v>1.26</v>
      </c>
      <c r="E5" t="n">
        <v>1.26</v>
      </c>
      <c r="F5" t="n">
        <v>0.41</v>
      </c>
      <c r="G5" t="n">
        <v>0.54</v>
      </c>
      <c r="H5" t="n">
        <v>0.45</v>
      </c>
      <c r="I5" t="n">
        <v>0.9</v>
      </c>
      <c r="J5" t="n">
        <v>1.8</v>
      </c>
      <c r="K5" t="n">
        <v>2.7</v>
      </c>
      <c r="L5" t="n">
        <v>1.62</v>
      </c>
      <c r="M5" t="n">
        <v>0.9</v>
      </c>
      <c r="N5" t="n">
        <v>1.35</v>
      </c>
      <c r="O5" t="n">
        <v>0.8100000000000001</v>
      </c>
    </row>
    <row r="6">
      <c r="C6" t="inlineStr">
        <is>
          <t>1 1/4"</t>
        </is>
      </c>
      <c r="D6" t="n">
        <v>1.54</v>
      </c>
      <c r="E6" t="n">
        <v>1.54</v>
      </c>
      <c r="F6" t="n">
        <v>0.5</v>
      </c>
      <c r="G6" t="n">
        <v>0.66</v>
      </c>
      <c r="H6" t="n">
        <v>0.55</v>
      </c>
      <c r="I6" t="n">
        <v>1.1</v>
      </c>
      <c r="J6" t="n">
        <v>2.2</v>
      </c>
      <c r="K6" t="n">
        <v>3.3</v>
      </c>
      <c r="L6" t="n">
        <v>1.98</v>
      </c>
      <c r="M6" t="n">
        <v>1.1</v>
      </c>
      <c r="N6" t="n">
        <v>1.65</v>
      </c>
      <c r="O6" t="n">
        <v>0.99</v>
      </c>
    </row>
    <row r="7">
      <c r="C7" t="inlineStr">
        <is>
          <t>1 1/2"</t>
        </is>
      </c>
      <c r="D7" t="n">
        <v>1.89</v>
      </c>
      <c r="E7" t="n">
        <v>1.89</v>
      </c>
      <c r="F7" t="n">
        <v>0.61</v>
      </c>
      <c r="G7" t="n">
        <v>0.8100000000000001</v>
      </c>
      <c r="H7" t="n">
        <v>0.68</v>
      </c>
      <c r="I7" t="n">
        <v>1.35</v>
      </c>
      <c r="J7" t="n">
        <v>2.7</v>
      </c>
      <c r="K7" t="n">
        <v>4.05</v>
      </c>
      <c r="L7" t="n">
        <v>2.43</v>
      </c>
      <c r="M7" t="n">
        <v>1.35</v>
      </c>
      <c r="N7" t="n">
        <v>2.03</v>
      </c>
      <c r="O7" t="n">
        <v>1.22</v>
      </c>
    </row>
    <row r="8">
      <c r="C8" t="inlineStr">
        <is>
          <t>2"</t>
        </is>
      </c>
      <c r="D8" t="n">
        <v>2.38</v>
      </c>
      <c r="E8" t="n">
        <v>2.38</v>
      </c>
      <c r="F8" t="n">
        <v>0.77</v>
      </c>
      <c r="G8" t="n">
        <v>1.02</v>
      </c>
      <c r="H8" t="n">
        <v>0.85</v>
      </c>
      <c r="I8" t="n">
        <v>1.7</v>
      </c>
      <c r="J8" t="n">
        <v>3.4</v>
      </c>
      <c r="K8" t="n">
        <v>5.1</v>
      </c>
      <c r="L8" t="n">
        <v>3.06</v>
      </c>
      <c r="M8" t="n">
        <v>1.7</v>
      </c>
      <c r="N8" t="n">
        <v>2.55</v>
      </c>
      <c r="O8" t="n">
        <v>1.53</v>
      </c>
    </row>
    <row r="9">
      <c r="C9" t="inlineStr">
        <is>
          <t>2 1/2"</t>
        </is>
      </c>
      <c r="D9" t="n">
        <v>2.8</v>
      </c>
      <c r="E9" t="n">
        <v>2.8</v>
      </c>
      <c r="F9" t="n">
        <v>0.9</v>
      </c>
      <c r="G9" t="n">
        <v>1.2</v>
      </c>
      <c r="H9" t="n">
        <v>1</v>
      </c>
      <c r="I9" t="n">
        <v>2</v>
      </c>
      <c r="J9" t="n">
        <v>4</v>
      </c>
      <c r="K9" t="n">
        <v>6</v>
      </c>
      <c r="L9" t="n">
        <v>3.6</v>
      </c>
      <c r="M9" t="n">
        <v>2</v>
      </c>
      <c r="N9" t="n">
        <v>3</v>
      </c>
      <c r="O9" t="n">
        <v>1.8</v>
      </c>
    </row>
    <row r="10">
      <c r="C10" t="inlineStr">
        <is>
          <t>3"</t>
        </is>
      </c>
      <c r="D10" t="n">
        <v>3.08</v>
      </c>
      <c r="E10" t="n">
        <v>3.08</v>
      </c>
      <c r="F10" t="n">
        <v>0.99</v>
      </c>
      <c r="G10" t="n">
        <v>1.32</v>
      </c>
      <c r="H10" t="n">
        <v>1.1</v>
      </c>
      <c r="I10" t="n">
        <v>2.2</v>
      </c>
      <c r="J10" t="n">
        <v>4.4</v>
      </c>
      <c r="K10" t="n">
        <v>6.6</v>
      </c>
      <c r="L10" t="n">
        <v>3.96</v>
      </c>
      <c r="M10" t="n">
        <v>2.2</v>
      </c>
      <c r="N10" t="n">
        <v>3.3</v>
      </c>
      <c r="O10" t="n">
        <v>1.98</v>
      </c>
    </row>
    <row r="11">
      <c r="C11" t="inlineStr">
        <is>
          <t>4"</t>
        </is>
      </c>
      <c r="D11" t="n">
        <v>3.78</v>
      </c>
      <c r="E11" t="n">
        <v>3.78</v>
      </c>
      <c r="F11" t="n">
        <v>1.22</v>
      </c>
      <c r="G11" t="n">
        <v>1.62</v>
      </c>
      <c r="H11" t="n">
        <v>1.35</v>
      </c>
      <c r="I11" t="n">
        <v>2.7</v>
      </c>
      <c r="J11" t="n">
        <v>5.4</v>
      </c>
      <c r="K11" t="n">
        <v>8.1</v>
      </c>
      <c r="L11" t="n">
        <v>4.86</v>
      </c>
      <c r="M11" t="n">
        <v>2.7</v>
      </c>
      <c r="N11" t="n">
        <v>4.05</v>
      </c>
      <c r="O11" t="n">
        <v>2.43</v>
      </c>
    </row>
    <row r="12">
      <c r="C12" t="inlineStr">
        <is>
          <t>5"</t>
        </is>
      </c>
      <c r="D12" t="n">
        <v>4.34</v>
      </c>
      <c r="E12" t="n">
        <v>4.34</v>
      </c>
      <c r="F12" t="n">
        <v>1.4</v>
      </c>
      <c r="G12" t="n">
        <v>1.86</v>
      </c>
      <c r="H12" t="n">
        <v>1.55</v>
      </c>
      <c r="I12" t="n">
        <v>3.1</v>
      </c>
      <c r="J12" t="n">
        <v>6.2</v>
      </c>
      <c r="K12" t="n">
        <v>9.300000000000001</v>
      </c>
      <c r="L12" t="n">
        <v>5.58</v>
      </c>
      <c r="M12" t="n">
        <v>3.1</v>
      </c>
      <c r="N12" t="n">
        <v>4.65</v>
      </c>
      <c r="O12" t="n">
        <v>2.79</v>
      </c>
    </row>
    <row r="13">
      <c r="C13" t="inlineStr">
        <is>
          <t>6"</t>
        </is>
      </c>
      <c r="D13" t="n">
        <v>4.9</v>
      </c>
      <c r="E13" t="n">
        <v>4.9</v>
      </c>
      <c r="F13" t="n">
        <v>1.57</v>
      </c>
      <c r="G13" t="n">
        <v>2.1</v>
      </c>
      <c r="H13" t="n">
        <v>1.75</v>
      </c>
      <c r="I13" t="n">
        <v>3.5</v>
      </c>
      <c r="J13" t="n">
        <v>7</v>
      </c>
      <c r="K13" t="n">
        <v>10.5</v>
      </c>
      <c r="L13" t="n">
        <v>6.3</v>
      </c>
      <c r="M13" t="n">
        <v>3.5</v>
      </c>
      <c r="N13" t="n">
        <v>5.25</v>
      </c>
      <c r="O13" t="n">
        <v>3.15</v>
      </c>
    </row>
    <row r="14">
      <c r="C14" t="inlineStr">
        <is>
          <t>8"</t>
        </is>
      </c>
      <c r="D14" t="n">
        <v>6.3</v>
      </c>
      <c r="E14" t="n">
        <v>6.3</v>
      </c>
      <c r="F14" t="n">
        <v>2.02</v>
      </c>
      <c r="G14" t="n">
        <v>2.7</v>
      </c>
      <c r="H14" t="n">
        <v>2.25</v>
      </c>
      <c r="I14" t="n">
        <v>4.5</v>
      </c>
      <c r="J14" t="n">
        <v>9</v>
      </c>
      <c r="K14" t="n">
        <v>13.5</v>
      </c>
      <c r="L14" t="n">
        <v>8.1</v>
      </c>
      <c r="M14" t="n">
        <v>4.5</v>
      </c>
      <c r="N14" t="n">
        <v>6.75</v>
      </c>
      <c r="O14" t="n">
        <v>4.05</v>
      </c>
    </row>
    <row r="16">
      <c r="C16" s="2" t="inlineStr">
        <is>
          <t>hours to weld and fit one item, by pipe size — CoolLogic's own matrix, unchanged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4" customWidth="1" min="3" max="3"/>
  </cols>
  <sheetData>
    <row r="1">
      <c r="A1" s="4" t="inlineStr">
        <is>
          <t>Applies to</t>
        </is>
      </c>
      <c r="B1" s="4" t="inlineStr">
        <is>
          <t>Generates</t>
        </is>
      </c>
      <c r="C1" s="4" t="inlineStr">
        <is>
          <t>Status</t>
        </is>
      </c>
    </row>
    <row r="2">
      <c r="A2" s="12" t="inlineStr">
        <is>
          <t>1 per TE connection</t>
        </is>
      </c>
      <c r="B2" s="12" t="inlineStr">
        <is>
          <t>tube flange + gasket</t>
        </is>
      </c>
      <c r="C2" s="12" t="inlineStr">
        <is>
          <t>confirm with engineers</t>
        </is>
      </c>
    </row>
    <row r="3">
      <c r="A3" s="12" t="inlineStr">
        <is>
          <t>1 per PN connection</t>
        </is>
      </c>
      <c r="B3" s="12" t="inlineStr">
        <is>
          <t>gasket + bolt set</t>
        </is>
      </c>
      <c r="C3" s="12" t="inlineStr">
        <is>
          <t>confirm with engineers</t>
        </is>
      </c>
    </row>
    <row r="4">
      <c r="A4" t="inlineStr">
        <is>
          <t>elbow</t>
        </is>
      </c>
      <c r="B4" t="inlineStr">
        <is>
          <t>2 × a butt weld of the same size</t>
        </is>
      </c>
      <c r="C4" t="inlineStr">
        <is>
          <t>from their Labour Calculator</t>
        </is>
      </c>
    </row>
    <row r="5">
      <c r="A5" t="inlineStr">
        <is>
          <t>tee</t>
        </is>
      </c>
      <c r="B5" t="inlineStr">
        <is>
          <t>3 × a butt weld of the same size</t>
        </is>
      </c>
      <c r="C5" t="inlineStr">
        <is>
          <t>from their Labour Calculator</t>
        </is>
      </c>
    </row>
    <row r="6">
      <c r="A6" s="12" t="inlineStr">
        <is>
          <t>straight pipe</t>
        </is>
      </c>
      <c r="B6" s="12" t="inlineStr">
        <is>
          <t>1 weld per 6 m stick</t>
        </is>
      </c>
      <c r="C6" s="12" t="inlineStr">
        <is>
          <t>confirm with engineers</t>
        </is>
      </c>
    </row>
    <row r="7">
      <c r="A7" t="inlineStr">
        <is>
          <t>compressor</t>
        </is>
      </c>
      <c r="B7" t="inlineStr">
        <is>
          <t>harmonic mitigation, packaged control, common return transducer</t>
        </is>
      </c>
      <c r="C7" t="inlineStr">
        <is>
          <t>observed on past jobs</t>
        </is>
      </c>
    </row>
    <row r="8">
      <c r="A8" t="inlineStr">
        <is>
          <t>pump</t>
        </is>
      </c>
      <c r="B8" t="inlineStr">
        <is>
          <t>anticondensation heaters, TT/FS switch, supply transducer</t>
        </is>
      </c>
      <c r="C8" t="inlineStr">
        <is>
          <t>observed on past jobs</t>
        </is>
      </c>
    </row>
    <row r="9">
      <c r="A9" t="inlineStr">
        <is>
          <t>unit cooler</t>
        </is>
      </c>
      <c r="B9" t="inlineStr">
        <is>
          <t>2 × cold stop actuator, defrost inlet + outlet</t>
        </is>
      </c>
      <c r="C9" t="inlineStr">
        <is>
          <t>observed on past jobs</t>
        </is>
      </c>
    </row>
    <row r="10">
      <c r="A10" s="12" t="inlineStr">
        <is>
          <t>condenser</t>
        </is>
      </c>
      <c r="B10" s="12" t="inlineStr">
        <is>
          <t>fan speed control, water treatment interlock, basin heater</t>
        </is>
      </c>
      <c r="C10" s="12" t="inlineStr">
        <is>
          <t>confirm with engineers</t>
        </is>
      </c>
    </row>
    <row r="11">
      <c r="A11" s="12" t="inlineStr">
        <is>
          <t>pipe insulation</t>
        </is>
      </c>
      <c r="B11" s="12" t="inlineStr">
        <is>
          <t>$150 per metre by diameter</t>
        </is>
      </c>
      <c r="C11" s="12" t="inlineStr">
        <is>
          <t>rate to be set with the sub</t>
        </is>
      </c>
    </row>
    <row r="12">
      <c r="A12" t="inlineStr">
        <is>
          <t>in-house vs subcontract</t>
        </is>
      </c>
      <c r="B12" t="inlineStr">
        <is>
          <t>the code changes with it: L- own labour ↔ S- subcontract, E- own electrical ↔ ES- electrical sub</t>
        </is>
      </c>
      <c r="C12" t="inlineStr">
        <is>
          <t>their own code families</t>
        </is>
      </c>
    </row>
    <row r="13">
      <c r="A13" t="inlineStr">
        <is>
          <t>VSD / IE5 VSD / EC Fan Supply</t>
        </is>
      </c>
      <c r="B13" t="inlineStr">
        <is>
          <t>1 comms point</t>
        </is>
      </c>
      <c r="C13" t="inlineStr">
        <is>
          <t>observed on past jobs</t>
        </is>
      </c>
    </row>
    <row r="14">
      <c r="A14" t="inlineStr">
        <is>
          <t>Motor Starter DOL</t>
        </is>
      </c>
      <c r="B14" t="inlineStr">
        <is>
          <t>1 DI + 1 DO + 1 AO</t>
        </is>
      </c>
      <c r="C14" t="inlineStr">
        <is>
          <t>observed on past jobs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2026-09-14T18:13:42Z</dcterms:created>
  <dcterms:modified xsi:type="dcterms:W3CDTF">2026-09-14T18:13:42Z</dcterms:modified>
</cp:coreProperties>
</file>